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表" sheetId="1" state="visible" r:id="rId1"/>
    <sheet name="测算底稿" sheetId="2" state="visible" r:id="rId2"/>
    <sheet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+0.00%;-0.00%"/>
    <numFmt numFmtId="165" formatCode="+0%;-0%"/>
    <numFmt numFmtId="166" formatCode="0.0"/>
    <numFmt numFmtId="167" formatCode="0.0%"/>
    <numFmt numFmtId="168" formatCode="+0.0%;-0.0%"/>
    <numFmt numFmtId="169" formatCode="+0.0%;-0.0%;0.0%"/>
    <numFmt numFmtId="170" formatCode="+0%;-0%;0%"/>
  </numFmts>
  <fonts count="12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color rgb="FF000000"/>
      <sz val="13"/>
    </font>
    <font>
      <name val="宋体"/>
      <color rgb="FF666666"/>
      <sz val="9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FF"/>
      <sz val="11"/>
    </font>
    <font>
      <name val="宋体"/>
      <color rgb="FF000000"/>
      <sz val="9"/>
    </font>
    <font>
      <name val="宋体"/>
      <color rgb="FF008000"/>
      <sz val="11"/>
    </font>
    <font>
      <name val="宋体"/>
      <sz val="10"/>
    </font>
    <font>
      <name val="宋体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2" fontId="6" fillId="0" borderId="5" applyAlignment="1" pivotButton="0" quotePrefix="0" xfId="0">
      <alignment horizontal="right" vertical="center"/>
    </xf>
    <xf numFmtId="2" fontId="7" fillId="0" borderId="5" applyAlignment="1" pivotButton="0" quotePrefix="0" xfId="0">
      <alignment horizontal="right" vertical="center"/>
    </xf>
    <xf numFmtId="164" fontId="7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left" vertical="center" wrapText="1"/>
    </xf>
    <xf numFmtId="3" fontId="7" fillId="0" borderId="5" applyAlignment="1" pivotButton="0" quotePrefix="0" xfId="0">
      <alignment horizontal="right" vertical="center"/>
    </xf>
    <xf numFmtId="9" fontId="7" fillId="4" borderId="5" applyAlignment="1" pivotButton="0" quotePrefix="0" xfId="0">
      <alignment horizontal="right" vertical="center"/>
    </xf>
    <xf numFmtId="165" fontId="7" fillId="4" borderId="5" applyAlignment="1" pivotButton="0" quotePrefix="0" xfId="0">
      <alignment horizontal="right" vertical="center"/>
    </xf>
    <xf numFmtId="166" fontId="7" fillId="4" borderId="5" applyAlignment="1" pivotButton="0" quotePrefix="0" xfId="0">
      <alignment horizontal="right" vertical="center"/>
    </xf>
    <xf numFmtId="167" fontId="6" fillId="0" borderId="5" applyAlignment="1" pivotButton="0" quotePrefix="0" xfId="0">
      <alignment horizontal="right" vertical="center"/>
    </xf>
    <xf numFmtId="3" fontId="7" fillId="4" borderId="5" applyAlignment="1" pivotButton="0" quotePrefix="0" xfId="0">
      <alignment horizontal="right" vertical="center"/>
    </xf>
    <xf numFmtId="167" fontId="7" fillId="4" borderId="5" applyAlignment="1" pivotButton="0" quotePrefix="0" xfId="0">
      <alignment horizontal="right" vertical="center"/>
    </xf>
    <xf numFmtId="3" fontId="6" fillId="0" borderId="5" applyAlignment="1" pivotButton="0" quotePrefix="0" xfId="0">
      <alignment horizontal="right" vertical="center"/>
    </xf>
    <xf numFmtId="168" fontId="6" fillId="0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 wrapText="1"/>
    </xf>
    <xf numFmtId="169" fontId="6" fillId="0" borderId="5" applyAlignment="1" pivotButton="0" quotePrefix="0" xfId="0">
      <alignment horizontal="right" vertical="center"/>
    </xf>
    <xf numFmtId="10" fontId="6" fillId="0" borderId="5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2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9" fontId="6" fillId="0" borderId="0" applyAlignment="1" pivotButton="0" quotePrefix="0" xfId="0">
      <alignment horizontal="right" vertical="center"/>
    </xf>
    <xf numFmtId="17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62" customWidth="1" min="8" max="8"/>
  </cols>
  <sheetData>
    <row r="1" ht="22" customHeight="1">
      <c r="A1" s="1" t="inlineStr">
        <is>
          <t>指标</t>
        </is>
      </c>
      <c r="B1" s="1" t="inlineStr">
        <is>
          <t>类型1</t>
        </is>
      </c>
      <c r="C1" s="1" t="inlineStr">
        <is>
          <t>类型2</t>
        </is>
      </c>
      <c r="D1" s="1" t="inlineStr">
        <is>
          <t>2024全年</t>
        </is>
      </c>
      <c r="E1" s="1" t="inlineStr">
        <is>
          <t>2025全年</t>
        </is>
      </c>
      <c r="F1" s="1" t="inlineStr">
        <is>
          <t>2025 1-8月</t>
        </is>
      </c>
      <c r="G1" s="1" t="inlineStr">
        <is>
          <t>2026 1-8月</t>
        </is>
      </c>
      <c r="H1" s="1" t="inlineStr">
        <is>
          <t>2026vs2025波动原因</t>
        </is>
      </c>
    </row>
    <row r="2" ht="48" customHeight="1">
      <c r="A2" s="2" t="inlineStr">
        <is>
          <t>订单均价</t>
        </is>
      </c>
      <c r="B2" s="2" t="inlineStr">
        <is>
          <t>拼大团</t>
        </is>
      </c>
      <c r="C2" s="2" t="inlineStr">
        <is>
          <t>含大交通散拼团-大车</t>
        </is>
      </c>
      <c r="D2" s="6">
        <f>'测算底稿'!B42</f>
        <v/>
      </c>
      <c r="E2" s="6">
        <f>'测算底稿'!C42</f>
        <v/>
      </c>
      <c r="F2" s="6">
        <f>'测算底稿'!D42</f>
        <v/>
      </c>
      <c r="G2" s="6">
        <f>'测算底稿'!E42</f>
        <v/>
      </c>
      <c r="H2" s="7">
        <f>"均价"&amp;TEXT('测算底稿'!F42,"+0%;-0%;0%")&amp;"（"&amp;IF('测算底稿'!F42&gt;0.03,"增长",IF('测算底稿'!F42&lt;-0.03,"下降","基本持平"))&amp;"）。"&amp;"短线亚洲占比上升拉低均价（暑期首尔客流+30%、曼谷/吉隆坡/新加坡约+20%）；批发端价格竞争延续（2025年批发毛利率−1.04个百分点）"</f>
        <v/>
      </c>
    </row>
    <row r="3" ht="48" customHeight="1">
      <c r="A3" s="4" t="n"/>
      <c r="B3" s="4" t="n"/>
      <c r="C3" s="2" t="inlineStr">
        <is>
          <t>当地拼团多日游-大车</t>
        </is>
      </c>
      <c r="D3" s="6">
        <f>'测算底稿'!B43</f>
        <v/>
      </c>
      <c r="E3" s="6">
        <f>'测算底稿'!C43</f>
        <v/>
      </c>
      <c r="F3" s="6">
        <f>'测算底稿'!D43</f>
        <v/>
      </c>
      <c r="G3" s="6">
        <f>'测算底稿'!E43</f>
        <v/>
      </c>
      <c r="H3" s="7">
        <f>"均价"&amp;TEXT('测算底稿'!F43,"+0%;-0%;0%")&amp;"（"&amp;IF('测算底稿'!F43&gt;0.03,"增长",IF('测算底稿'!F43&lt;-0.03,"下降","基本持平"))&amp;"）。"&amp;"目的地大巴团为标准化产品，未见公开调价"</f>
        <v/>
      </c>
    </row>
    <row r="4" ht="48" customHeight="1">
      <c r="A4" s="4" t="n"/>
      <c r="B4" s="5" t="n"/>
      <c r="C4" s="2" t="inlineStr">
        <is>
          <t>一日游</t>
        </is>
      </c>
      <c r="D4" s="6">
        <f>'测算底稿'!B44</f>
        <v/>
      </c>
      <c r="E4" s="6">
        <f>'测算底稿'!C44</f>
        <v/>
      </c>
      <c r="F4" s="6">
        <f>'测算底稿'!D44</f>
        <v/>
      </c>
      <c r="G4" s="6">
        <f>'测算底稿'!E44</f>
        <v/>
      </c>
      <c r="H4" s="7">
        <f>"均价"&amp;TEXT('测算底稿'!F44,"+0%;-0%;0%")&amp;"（"&amp;IF('测算底稿'!F44&gt;0.03,"增长",IF('测算底稿'!F44&lt;-0.03,"下降","基本持平"))&amp;"）。"&amp;"标准化低价产品，价格刚性"</f>
        <v/>
      </c>
    </row>
    <row r="5" ht="48" customHeight="1">
      <c r="A5" s="4" t="n"/>
      <c r="B5" s="2" t="inlineStr">
        <is>
          <t>拼小团</t>
        </is>
      </c>
      <c r="C5" s="2" t="inlineStr">
        <is>
          <t>含大交通散拼团-小车</t>
        </is>
      </c>
      <c r="D5" s="6">
        <f>'测算底稿'!B45</f>
        <v/>
      </c>
      <c r="E5" s="6">
        <f>'测算底稿'!C45</f>
        <v/>
      </c>
      <c r="F5" s="6">
        <f>'测算底稿'!D45</f>
        <v/>
      </c>
      <c r="G5" s="6">
        <f>'测算底稿'!E45</f>
        <v/>
      </c>
      <c r="H5" s="7">
        <f>"均价"&amp;TEXT('测算底稿'!F45,"+0%;-0%;0%")&amp;"（"&amp;IF('测算底稿'!F45&gt;0.03,"增长",IF('测算底稿'!F45&lt;-0.03,"下降","基本持平"))&amp;"）。"&amp;"小团供给增加（众信主推2–16人欧洲精品小团），同业跟进加剧竞争"</f>
        <v/>
      </c>
    </row>
    <row r="6" ht="48" customHeight="1">
      <c r="A6" s="4" t="n"/>
      <c r="B6" s="5" t="n"/>
      <c r="C6" s="2" t="inlineStr">
        <is>
          <t>当地拼团-小车</t>
        </is>
      </c>
      <c r="D6" s="6">
        <f>'测算底稿'!B46</f>
        <v/>
      </c>
      <c r="E6" s="6">
        <f>'测算底稿'!C46</f>
        <v/>
      </c>
      <c r="F6" s="6">
        <f>'测算底稿'!D46</f>
        <v/>
      </c>
      <c r="G6" s="6">
        <f>'测算底稿'!E46</f>
        <v/>
      </c>
      <c r="H6" s="7">
        <f>"均价"&amp;TEXT('测算底稿'!F46,"+0%;-0%;0%")&amp;"（"&amp;IF('测算底稿'!F46&gt;0.03,"增长",IF('测算底稿'!F46&lt;-0.03,"下降","基本持平"))&amp;"）。"&amp;"目的地小团定价稳定"</f>
        <v/>
      </c>
    </row>
    <row r="7" ht="48" customHeight="1">
      <c r="A7" s="4" t="n"/>
      <c r="B7" s="2" t="inlineStr">
        <is>
          <t>私家团</t>
        </is>
      </c>
      <c r="C7" s="2" t="inlineStr">
        <is>
          <t>含大交通私家团</t>
        </is>
      </c>
      <c r="D7" s="6">
        <f>'测算底稿'!B47</f>
        <v/>
      </c>
      <c r="E7" s="6">
        <f>'测算底稿'!C47</f>
        <v/>
      </c>
      <c r="F7" s="6">
        <f>'测算底稿'!D47</f>
        <v/>
      </c>
      <c r="G7" s="6">
        <f>'测算底稿'!E47</f>
        <v/>
      </c>
      <c r="H7" s="7">
        <f>"均价"&amp;TEXT('测算底稿'!F47,"+0%;-0%;0%")&amp;"（"&amp;IF('测算底稿'!F47&gt;0.03,"增长",IF('测算底稿'!F47&lt;-0.03,"下降","基本持平"))&amp;"）。"&amp;"私家团向日本、东南亚等短线家庭出游扩展，结构性拉低均价"</f>
        <v/>
      </c>
    </row>
    <row r="8" ht="48" customHeight="1">
      <c r="A8" s="4" t="n"/>
      <c r="B8" s="5" t="n"/>
      <c r="C8" s="2" t="inlineStr">
        <is>
          <t>当地私家团</t>
        </is>
      </c>
      <c r="D8" s="6">
        <f>'测算底稿'!B48</f>
        <v/>
      </c>
      <c r="E8" s="6">
        <f>'测算底稿'!C48</f>
        <v/>
      </c>
      <c r="F8" s="6">
        <f>'测算底稿'!D48</f>
        <v/>
      </c>
      <c r="G8" s="6">
        <f>'测算底稿'!E48</f>
        <v/>
      </c>
      <c r="H8" s="7">
        <f>"均价"&amp;TEXT('测算底稿'!F48,"+0%;-0%;0%")&amp;"（"&amp;IF('测算底稿'!F48&gt;0.03,"增长",IF('测算底稿'!F48&lt;-0.03,"下降","基本持平"))&amp;"）。"&amp;"目的地私家团定价稳定"</f>
        <v/>
      </c>
    </row>
    <row r="9" ht="48" customHeight="1">
      <c r="A9" s="4" t="n"/>
      <c r="B9" s="2" t="inlineStr">
        <is>
          <t>定制游</t>
        </is>
      </c>
      <c r="C9" s="2" t="inlineStr">
        <is>
          <t>含大交通定制</t>
        </is>
      </c>
      <c r="D9" s="6">
        <f>'测算底稿'!B49</f>
        <v/>
      </c>
      <c r="E9" s="6">
        <f>'测算底稿'!C49</f>
        <v/>
      </c>
      <c r="F9" s="6">
        <f>'测算底稿'!D49</f>
        <v/>
      </c>
      <c r="G9" s="6">
        <f>'测算底稿'!E49</f>
        <v/>
      </c>
      <c r="H9" s="7">
        <f>"均价"&amp;TEXT('测算底稿'!F49,"+0%;-0%;0%")&amp;"（"&amp;IF('测算底稿'!F49&gt;0.03,"增长",IF('测算底稿'!F49&lt;-0.03,"下降","基本持平"))&amp;"）。"&amp;"高端定制客群价格敏感度低"</f>
        <v/>
      </c>
    </row>
    <row r="10" ht="48" customHeight="1">
      <c r="A10" s="5" t="n"/>
      <c r="B10" s="5" t="n"/>
      <c r="C10" s="2" t="inlineStr">
        <is>
          <t>当地定制</t>
        </is>
      </c>
      <c r="D10" s="6">
        <f>'测算底稿'!B50</f>
        <v/>
      </c>
      <c r="E10" s="6">
        <f>'测算底稿'!C50</f>
        <v/>
      </c>
      <c r="F10" s="6">
        <f>'测算底稿'!D50</f>
        <v/>
      </c>
      <c r="G10" s="6">
        <f>'测算底稿'!E50</f>
        <v/>
      </c>
      <c r="H10" s="7">
        <f>"均价"&amp;TEXT('测算底稿'!F50,"+0%;-0%;0%")&amp;"（"&amp;IF('测算底稿'!F50&gt;0.03,"增长",IF('测算底稿'!F50&lt;-0.03,"下降","基本持平"))&amp;"）。"&amp;"目的地定制定价稳定"</f>
        <v/>
      </c>
    </row>
    <row r="11" ht="48" customHeight="1">
      <c r="A11" s="2" t="inlineStr">
        <is>
          <t>收客人次</t>
        </is>
      </c>
      <c r="B11" s="2" t="inlineStr">
        <is>
          <t>拼大团</t>
        </is>
      </c>
      <c r="C11" s="2" t="inlineStr">
        <is>
          <t>含大交通散拼团-大车</t>
        </is>
      </c>
      <c r="D11" s="6">
        <f>'测算底稿'!B53</f>
        <v/>
      </c>
      <c r="E11" s="6">
        <f>'测算底稿'!C53</f>
        <v/>
      </c>
      <c r="F11" s="6">
        <f>'测算底稿'!D53</f>
        <v/>
      </c>
      <c r="G11" s="6">
        <f>'测算底稿'!E53</f>
        <v/>
      </c>
      <c r="H11" s="7">
        <f>"人次"&amp;TEXT('测算底稿'!F53,"+0%;-0%;0%")&amp;"（"&amp;IF('测算底稿'!F53&gt;0.03,"增长",IF('测算底稿'!F53&lt;-0.03,"下降","基本持平"))&amp;"）。"&amp;"公司主动缩减获客成本高、资金占用高的批发线路，2026H1旅游批发收入−10.20%；跟团需求向小团、私家团迁移"</f>
        <v/>
      </c>
    </row>
    <row r="12" ht="48" customHeight="1">
      <c r="A12" s="4" t="n"/>
      <c r="B12" s="4" t="n"/>
      <c r="C12" s="2" t="inlineStr">
        <is>
          <t>当地拼团多日游-大车</t>
        </is>
      </c>
      <c r="D12" s="6">
        <f>'测算底稿'!B54</f>
        <v/>
      </c>
      <c r="E12" s="6">
        <f>'测算底稿'!C54</f>
        <v/>
      </c>
      <c r="F12" s="6">
        <f>'测算底稿'!D54</f>
        <v/>
      </c>
      <c r="G12" s="6">
        <f>'测算底稿'!E54</f>
        <v/>
      </c>
      <c r="H12" s="7">
        <f>"人次"&amp;TEXT('测算底稿'!F54,"+0%;-0%;0%")&amp;"（"&amp;IF('测算底稿'!F54&gt;0.03,"增长",IF('测算底稿'!F54&lt;-0.03,"下降","基本持平"))&amp;"）。"&amp;"随九类产品总客量回落（约−4%）；目的地参团需求本身稳定"</f>
        <v/>
      </c>
    </row>
    <row r="13" ht="48" customHeight="1">
      <c r="A13" s="4" t="n"/>
      <c r="B13" s="5" t="n"/>
      <c r="C13" s="2" t="inlineStr">
        <is>
          <t>一日游</t>
        </is>
      </c>
      <c r="D13" s="6">
        <f>'测算底稿'!B55</f>
        <v/>
      </c>
      <c r="E13" s="6">
        <f>'测算底稿'!C55</f>
        <v/>
      </c>
      <c r="F13" s="6">
        <f>'测算底稿'!D55</f>
        <v/>
      </c>
      <c r="G13" s="6">
        <f>'测算底稿'!E55</f>
        <v/>
      </c>
      <c r="H13" s="7">
        <f>"人次"&amp;TEXT('测算底稿'!F55,"+0%;-0%;0%")&amp;"（"&amp;IF('测算底稿'!F55&gt;0.03,"增长",IF('测算底稿'!F55&lt;-0.03,"下降","基本持平"))&amp;"）。"&amp;"长线散客增加带动目的地一日游，抵消总客量回落"</f>
        <v/>
      </c>
    </row>
    <row r="14" ht="48" customHeight="1">
      <c r="A14" s="4" t="n"/>
      <c r="B14" s="2" t="inlineStr">
        <is>
          <t>拼小团</t>
        </is>
      </c>
      <c r="C14" s="2" t="inlineStr">
        <is>
          <t>含大交通散拼团-小车</t>
        </is>
      </c>
      <c r="D14" s="6">
        <f>'测算底稿'!B56</f>
        <v/>
      </c>
      <c r="E14" s="6">
        <f>'测算底稿'!C56</f>
        <v/>
      </c>
      <c r="F14" s="6">
        <f>'测算底稿'!D56</f>
        <v/>
      </c>
      <c r="G14" s="6">
        <f>'测算底稿'!E56</f>
        <v/>
      </c>
      <c r="H14" s="7">
        <f>"人次"&amp;TEXT('测算底稿'!F56,"+0%;-0%;0%")&amp;"（"&amp;IF('测算底稿'!F56&gt;0.03,"增长",IF('测算底稿'!F56&lt;-0.03,"下降","基本持平"))&amp;"）。"&amp;"大团变小团趋势延续，公司资源转向高附加值产品；2026H1旅游零售收入+20.66%"</f>
        <v/>
      </c>
    </row>
    <row r="15" ht="48" customHeight="1">
      <c r="A15" s="4" t="n"/>
      <c r="B15" s="5" t="n"/>
      <c r="C15" s="2" t="inlineStr">
        <is>
          <t>当地拼团多日游-小车</t>
        </is>
      </c>
      <c r="D15" s="6">
        <f>'测算底稿'!B57</f>
        <v/>
      </c>
      <c r="E15" s="6">
        <f>'测算底稿'!C57</f>
        <v/>
      </c>
      <c r="F15" s="6">
        <f>'测算底稿'!D57</f>
        <v/>
      </c>
      <c r="G15" s="6">
        <f>'测算底稿'!E57</f>
        <v/>
      </c>
      <c r="H15" s="7">
        <f>"人次"&amp;TEXT('测算底稿'!F57,"+0%;-0%;0%")&amp;"（"&amp;IF('测算底稿'!F57&gt;0.03,"增长",IF('测算底稿'!F57&lt;-0.03,"下降","基本持平"))&amp;"）。"&amp;"小团化趋势延续"</f>
        <v/>
      </c>
    </row>
    <row r="16" ht="48" customHeight="1">
      <c r="A16" s="4" t="n"/>
      <c r="B16" s="2" t="inlineStr">
        <is>
          <t>私家团</t>
        </is>
      </c>
      <c r="C16" s="2" t="inlineStr">
        <is>
          <t>含大交通私家团</t>
        </is>
      </c>
      <c r="D16" s="6">
        <f>'测算底稿'!B58</f>
        <v/>
      </c>
      <c r="E16" s="6">
        <f>'测算底稿'!C58</f>
        <v/>
      </c>
      <c r="F16" s="6">
        <f>'测算底稿'!D58</f>
        <v/>
      </c>
      <c r="G16" s="6">
        <f>'测算底稿'!E58</f>
        <v/>
      </c>
      <c r="H16" s="7">
        <f>"人次"&amp;TEXT('测算底稿'!F58,"+0%;-0%;0%")&amp;"（"&amp;IF('测算底稿'!F58&gt;0.03,"增长",IF('测算底稿'!F58&lt;-0.03,"下降","基本持平"))&amp;"）。"&amp;"家庭亲子出游偏好私密成团；零售门店与加盟扩张带动"</f>
        <v/>
      </c>
    </row>
    <row r="17" ht="48" customHeight="1">
      <c r="A17" s="4" t="n"/>
      <c r="B17" s="5" t="n"/>
      <c r="C17" s="2" t="inlineStr">
        <is>
          <t>当地私家团</t>
        </is>
      </c>
      <c r="D17" s="6">
        <f>'测算底稿'!B59</f>
        <v/>
      </c>
      <c r="E17" s="6">
        <f>'测算底稿'!C59</f>
        <v/>
      </c>
      <c r="F17" s="6">
        <f>'测算底稿'!D59</f>
        <v/>
      </c>
      <c r="G17" s="6">
        <f>'测算底稿'!E59</f>
        <v/>
      </c>
      <c r="H17" s="7">
        <f>"人次"&amp;TEXT('测算底稿'!F59,"+0%;-0%;0%")&amp;"（"&amp;IF('测算底稿'!F59&gt;0.03,"增长",IF('测算底稿'!F59&lt;-0.03,"下降","基本持平"))&amp;"）。"&amp;"家庭出游私密化，同上"</f>
        <v/>
      </c>
    </row>
    <row r="18" ht="48" customHeight="1">
      <c r="A18" s="4" t="n"/>
      <c r="B18" s="2" t="inlineStr">
        <is>
          <t>定制游</t>
        </is>
      </c>
      <c r="C18" s="2" t="inlineStr">
        <is>
          <t>含大交通定制</t>
        </is>
      </c>
      <c r="D18" s="6">
        <f>'测算底稿'!B60</f>
        <v/>
      </c>
      <c r="E18" s="6">
        <f>'测算底稿'!C60</f>
        <v/>
      </c>
      <c r="F18" s="6">
        <f>'测算底稿'!D60</f>
        <v/>
      </c>
      <c r="G18" s="6">
        <f>'测算底稿'!E60</f>
        <v/>
      </c>
      <c r="H18" s="7">
        <f>"人次"&amp;TEXT('测算底稿'!F60,"+0%;-0%;0%")&amp;"（"&amp;IF('测算底稿'!F60&gt;0.03,"增长",IF('测算底稿'!F60&lt;-0.03,"下降","基本持平"))&amp;"）。"&amp;"定制需求扩张（2025年国内定制旅行市场规模超1,200亿元、同比+14%）"</f>
        <v/>
      </c>
    </row>
    <row r="19" ht="48" customHeight="1">
      <c r="A19" s="5" t="n"/>
      <c r="B19" s="5" t="n"/>
      <c r="C19" s="2" t="inlineStr">
        <is>
          <t>当地定制</t>
        </is>
      </c>
      <c r="D19" s="6">
        <f>'测算底稿'!B61</f>
        <v/>
      </c>
      <c r="E19" s="6">
        <f>'测算底稿'!C61</f>
        <v/>
      </c>
      <c r="F19" s="6">
        <f>'测算底稿'!D61</f>
        <v/>
      </c>
      <c r="G19" s="6">
        <f>'测算底稿'!E61</f>
        <v/>
      </c>
      <c r="H19" s="7">
        <f>"人次"&amp;TEXT('测算底稿'!F61,"+0%;-0%;0%")&amp;"（"&amp;IF('测算底稿'!F61&gt;0.03,"增长",IF('测算底稿'!F61&lt;-0.03,"下降","基本持平"))&amp;"）。"&amp;"定制需求扩张，基数小"</f>
        <v/>
      </c>
    </row>
    <row r="21" ht="30" customHeight="1">
      <c r="A21" s="8" t="inlineStr">
        <is>
          <t>单位：订单均价为元/单（每单终端成交价），收客人次为人次；2026vs2025 按1–8月同期比较。填写口径、依据与人均价附表见「口径说明」页。</t>
        </is>
      </c>
    </row>
  </sheetData>
  <mergeCells count="11">
    <mergeCell ref="B9:B10"/>
    <mergeCell ref="A21:H21"/>
    <mergeCell ref="B18:B19"/>
    <mergeCell ref="B7:B8"/>
    <mergeCell ref="B11:B13"/>
    <mergeCell ref="B16:B17"/>
    <mergeCell ref="B2:B4"/>
    <mergeCell ref="A2:A10"/>
    <mergeCell ref="A11:A19"/>
    <mergeCell ref="B5:B6"/>
    <mergeCell ref="B14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</cols>
  <sheetData>
    <row r="1">
      <c r="A1" s="9" t="inlineStr">
        <is>
          <t>众信旅游(002707.SZ) 调研表测算底稿</t>
        </is>
      </c>
    </row>
    <row r="2">
      <c r="A2" s="10" t="inlineStr">
        <is>
          <t>蓝字=公开披露输入｜黑字=公式｜黄底=分析假设（可改，统计表自动联动）｜金额单位：亿元，价格：元，人次：人次</t>
        </is>
      </c>
    </row>
    <row r="4">
      <c r="A4" s="11" t="inlineStr">
        <is>
          <t>A. 公开锚点（营业收入，亿元）</t>
        </is>
      </c>
      <c r="B4" s="11" t="inlineStr">
        <is>
          <t>2024全年</t>
        </is>
      </c>
      <c r="C4" s="11" t="inlineStr">
        <is>
          <t>2025全年</t>
        </is>
      </c>
      <c r="D4" s="11" t="inlineStr">
        <is>
          <t>2025H1</t>
        </is>
      </c>
      <c r="E4" s="11" t="inlineStr">
        <is>
          <t>2026H1</t>
        </is>
      </c>
      <c r="F4" s="11" t="inlineStr">
        <is>
          <t>2025同比</t>
        </is>
      </c>
      <c r="G4" s="11" t="inlineStr">
        <is>
          <t>2026H1同比</t>
        </is>
      </c>
      <c r="H4" s="11" t="inlineStr"/>
      <c r="I4" s="11" t="inlineStr"/>
      <c r="J4" s="11" t="inlineStr">
        <is>
          <t>来源</t>
        </is>
      </c>
    </row>
    <row r="5">
      <c r="A5" s="12" t="inlineStr">
        <is>
          <t>旅游批发</t>
        </is>
      </c>
      <c r="B5" s="13">
        <f>C5/(1+F5)</f>
        <v/>
      </c>
      <c r="C5" s="14" t="n">
        <v>50.28</v>
      </c>
      <c r="D5" s="13">
        <f>E5/(1+G5)</f>
        <v/>
      </c>
      <c r="E5" s="14" t="n">
        <v>19.79</v>
      </c>
      <c r="F5" s="15" t="n">
        <v>0.049</v>
      </c>
      <c r="G5" s="15" t="n">
        <v>-0.102</v>
      </c>
      <c r="J5" s="16" t="inlineStr">
        <is>
          <t>2025年报（2026-04-27）及中期报告（2026-08-28），经中新经纬、腾讯新闻等转述；2024全年与2025H1按披露同比反推</t>
        </is>
      </c>
    </row>
    <row r="6">
      <c r="A6" s="12" t="inlineStr">
        <is>
          <t>旅游零售</t>
        </is>
      </c>
      <c r="B6" s="13">
        <f>C6/(1+F6)</f>
        <v/>
      </c>
      <c r="C6" s="14" t="n">
        <v>9.26</v>
      </c>
      <c r="D6" s="13">
        <f>E6/(1+G6)</f>
        <v/>
      </c>
      <c r="E6" s="14" t="n">
        <v>4.77</v>
      </c>
      <c r="F6" s="15" t="n">
        <v>0.2413</v>
      </c>
      <c r="G6" s="15" t="n">
        <v>0.2066</v>
      </c>
      <c r="J6" s="16" t="inlineStr">
        <is>
          <t>同上</t>
        </is>
      </c>
    </row>
    <row r="7">
      <c r="A7" s="12" t="inlineStr">
        <is>
          <t>整合营销服务</t>
        </is>
      </c>
      <c r="B7" s="13">
        <f>C7/(1+F7)</f>
        <v/>
      </c>
      <c r="C7" s="14" t="n">
        <v>8.4</v>
      </c>
      <c r="D7" s="13">
        <f>E7/(1+G7)</f>
        <v/>
      </c>
      <c r="E7" s="14" t="n">
        <v>3.32</v>
      </c>
      <c r="F7" s="15" t="n">
        <v>-0.0348</v>
      </c>
      <c r="G7" s="15" t="n">
        <v>0.28</v>
      </c>
      <c r="J7" s="16" t="inlineStr">
        <is>
          <t>同上</t>
        </is>
      </c>
    </row>
    <row r="8">
      <c r="A8" s="12" t="inlineStr">
        <is>
          <t>营业总收入</t>
        </is>
      </c>
      <c r="B8" s="13">
        <f>C8/(1+F8)</f>
        <v/>
      </c>
      <c r="C8" s="14" t="n">
        <v>68.22</v>
      </c>
      <c r="D8" s="13">
        <f>E8/(1+G8)</f>
        <v/>
      </c>
      <c r="E8" s="14" t="n">
        <v>27.99</v>
      </c>
      <c r="F8" s="15" t="n">
        <v>0.0569</v>
      </c>
      <c r="G8" s="15" t="n">
        <v>-0.026</v>
      </c>
      <c r="J8" s="16" t="inlineStr">
        <is>
          <t>同上</t>
        </is>
      </c>
    </row>
    <row r="9">
      <c r="A9" s="12" t="inlineStr">
        <is>
          <t>其他收入（总收入−三项合计）</t>
        </is>
      </c>
      <c r="B9" s="13">
        <f>B8-SUM(B5:B7)</f>
        <v/>
      </c>
      <c r="C9" s="13">
        <f>C8-SUM(C5:C7)</f>
        <v/>
      </c>
      <c r="D9" s="13">
        <f>D8-SUM(D5:D7)</f>
        <v/>
      </c>
      <c r="E9" s="13">
        <f>E8-SUM(E5:E7)</f>
        <v/>
      </c>
      <c r="J9" s="16" t="inlineStr">
        <is>
          <t>三项分业务加总与总收入的差额，为未单列的其他业务收入，非口径矛盾</t>
        </is>
      </c>
    </row>
    <row r="10">
      <c r="A10" s="12" t="inlineStr">
        <is>
          <t>2025 总服务人次（人次）</t>
        </is>
      </c>
      <c r="C10" s="17" t="n">
        <v>1680000</v>
      </c>
      <c r="J10" s="16" t="inlineStr">
        <is>
          <t>众信旅游集团2025年大数据报告（2025-12-31）：总服务人次突破168万；口径含签证、单项、入境、会奖等全部服务</t>
        </is>
      </c>
    </row>
    <row r="11">
      <c r="A11" s="12" t="inlineStr">
        <is>
          <t>其中：众信博睿会奖服务（人次）</t>
        </is>
      </c>
      <c r="C11" s="17" t="n">
        <v>240746</v>
      </c>
      <c r="J11" s="16" t="inlineStr">
        <is>
          <t>同上大数据报告</t>
        </is>
      </c>
    </row>
    <row r="13">
      <c r="A13" s="11" t="inlineStr">
        <is>
          <t>B. 口径假设</t>
        </is>
      </c>
      <c r="B13" s="11" t="inlineStr">
        <is>
          <t>取值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>
        <is>
          <t>依据</t>
        </is>
      </c>
    </row>
    <row r="14">
      <c r="A14" s="12" t="inlineStr">
        <is>
          <t>批发渠道佣金率（批发收入为同行价→还原终端成交价）</t>
        </is>
      </c>
      <c r="B14" s="18" t="n">
        <v>0.08</v>
      </c>
      <c r="J14" s="16" t="inlineStr">
        <is>
          <t>出境游批发给零售同行的常见返佣区间约5%–10%，取中值</t>
        </is>
      </c>
    </row>
    <row r="15">
      <c r="A15" s="12" t="inlineStr">
        <is>
          <t>九类团队产品占休闲终端成交额比例</t>
        </is>
      </c>
      <c r="B15" s="18" t="n">
        <v>0.85</v>
      </c>
      <c r="J15" s="16" t="inlineStr">
        <is>
          <t>批发+零售收入还含自由行套餐、邮轮、游学、签证、机票等单项，按15%剔除</t>
        </is>
      </c>
    </row>
    <row r="16">
      <c r="A16" s="12" t="inlineStr">
        <is>
          <t>7–8月占全年休闲成交额比例</t>
        </is>
      </c>
      <c r="B16" s="18" t="n">
        <v>0.26</v>
      </c>
      <c r="J16" s="16" t="inlineStr">
        <is>
          <t>2025年上半年占全年约44%；7–8月为暑期出境高峰（长线欧洲、亲子），取下半年约45%</t>
        </is>
      </c>
    </row>
    <row r="17">
      <c r="A17" s="12" t="inlineStr">
        <is>
          <t>2026年7–8月休闲成交额同比</t>
        </is>
      </c>
      <c r="B17" s="19" t="n">
        <v>-0.04</v>
      </c>
      <c r="J17" s="16" t="inlineStr">
        <is>
          <t>2026H1休闲成交额约−5.8%；暑期全国出入境航线旅客+约3%、短线亚洲火热，部分对冲</t>
        </is>
      </c>
    </row>
    <row r="19">
      <c r="A19" s="11" t="inlineStr">
        <is>
          <t>C. 休闲终端成交额（亿元）</t>
        </is>
      </c>
      <c r="B19" s="11" t="inlineStr">
        <is>
          <t>2024全年</t>
        </is>
      </c>
      <c r="C19" s="11" t="inlineStr">
        <is>
          <t>2025全年</t>
        </is>
      </c>
      <c r="D19" s="11" t="inlineStr">
        <is>
          <t>2025 1-8月</t>
        </is>
      </c>
      <c r="E19" s="11" t="inlineStr">
        <is>
          <t>2026 1-8月</t>
        </is>
      </c>
      <c r="F19" s="11" t="inlineStr"/>
      <c r="G19" s="11" t="inlineStr"/>
      <c r="H19" s="11" t="inlineStr"/>
      <c r="I19" s="11" t="inlineStr"/>
      <c r="J19" s="11" t="inlineStr">
        <is>
          <t>说明</t>
        </is>
      </c>
    </row>
    <row r="20">
      <c r="A20" s="12" t="inlineStr">
        <is>
          <t>上半年终端成交额</t>
        </is>
      </c>
      <c r="D20" s="13">
        <f>D5/(1-$B$14)+D6</f>
        <v/>
      </c>
      <c r="E20" s="13">
        <f>E5/(1-$B$14)+E6</f>
        <v/>
      </c>
      <c r="J20" s="16" t="inlineStr">
        <is>
          <t>批发÷(1−佣金率)+零售；整合营销（会奖）不在九类产品内，已剔除</t>
        </is>
      </c>
    </row>
    <row r="21">
      <c r="A21" s="12" t="inlineStr">
        <is>
          <t>7–8月终端成交额</t>
        </is>
      </c>
      <c r="D21" s="13">
        <f>C22*$B$16</f>
        <v/>
      </c>
      <c r="E21" s="13">
        <f>D21*(1+$B$17)</f>
        <v/>
      </c>
    </row>
    <row r="22">
      <c r="A22" s="12" t="inlineStr">
        <is>
          <t>全年/1–8月 休闲终端成交额</t>
        </is>
      </c>
      <c r="B22" s="13">
        <f>B5/(1-$B$14)+B6</f>
        <v/>
      </c>
      <c r="C22" s="13">
        <f>C5/(1-$B$14)+C6</f>
        <v/>
      </c>
      <c r="D22" s="13">
        <f>D20+D21</f>
        <v/>
      </c>
      <c r="E22" s="13">
        <f>E20+E21</f>
        <v/>
      </c>
    </row>
    <row r="23">
      <c r="A23" s="12" t="inlineStr">
        <is>
          <t>其中九类团队产品成交额</t>
        </is>
      </c>
      <c r="B23" s="13">
        <f>B22*$B$15</f>
        <v/>
      </c>
      <c r="C23" s="13">
        <f>C22*$B$15</f>
        <v/>
      </c>
      <c r="D23" s="13">
        <f>D22*$B$15</f>
        <v/>
      </c>
      <c r="E23" s="13">
        <f>E22*$B$15</f>
        <v/>
      </c>
    </row>
    <row r="25" ht="42" customHeight="1">
      <c r="A25" s="11" t="inlineStr">
        <is>
          <t>D. 九类产品假设</t>
        </is>
      </c>
      <c r="B25" s="11" t="inlineStr">
        <is>
          <t>单均人数（人/单）</t>
        </is>
      </c>
      <c r="C25" s="11" t="inlineStr">
        <is>
          <t>人次占比 2024</t>
        </is>
      </c>
      <c r="D25" s="11" t="inlineStr">
        <is>
          <t>人次占比 2025</t>
        </is>
      </c>
      <c r="E25" s="11" t="inlineStr">
        <is>
          <t>人次占比 2026 1-8月</t>
        </is>
      </c>
      <c r="F25" s="11" t="inlineStr">
        <is>
          <t>人均价 2024（元）</t>
        </is>
      </c>
      <c r="G25" s="11" t="inlineStr">
        <is>
          <t>人均价 2025（元）</t>
        </is>
      </c>
      <c r="H25" s="11" t="inlineStr">
        <is>
          <t>人均价 2026 1-8月（元）</t>
        </is>
      </c>
      <c r="I25" s="11" t="inlineStr"/>
      <c r="J25" s="11" t="inlineStr">
        <is>
          <t>依据</t>
        </is>
      </c>
    </row>
    <row r="26">
      <c r="A26" s="12" t="inlineStr">
        <is>
          <t>含大交通散拼团-大车</t>
        </is>
      </c>
      <c r="B26" s="20" t="n">
        <v>2</v>
      </c>
      <c r="C26" s="21">
        <f>1-SUM(C27:C34)</f>
        <v/>
      </c>
      <c r="D26" s="21">
        <f>1-SUM(D27:D34)</f>
        <v/>
      </c>
      <c r="E26" s="21">
        <f>1-SUM(E27:E34)</f>
        <v/>
      </c>
      <c r="F26" s="22" t="n">
        <v>10300</v>
      </c>
      <c r="G26" s="22" t="n">
        <v>9800</v>
      </c>
      <c r="H26" s="22" t="n">
        <v>9500</v>
      </c>
      <c r="J26" s="16" t="inlineStr">
        <is>
          <t>占比=1−其余八类（残差）。人均：长线约2.2万（众信欧洲13天北京出发2.48万起、自营线3.88万起）×约25%＋短线约5,800（日本6天6,580起、东南亚/韩国更低）×约75%</t>
        </is>
      </c>
    </row>
    <row r="27">
      <c r="A27" s="12" t="inlineStr">
        <is>
          <t>当地拼团多日游-大车</t>
        </is>
      </c>
      <c r="B27" s="20" t="n">
        <v>2.2</v>
      </c>
      <c r="C27" s="23" t="n">
        <v>0.08</v>
      </c>
      <c r="D27" s="23" t="n">
        <v>0.08</v>
      </c>
      <c r="E27" s="23" t="n">
        <v>0.08</v>
      </c>
      <c r="F27" s="22" t="n">
        <v>3000</v>
      </c>
      <c r="G27" s="22" t="n">
        <v>3000</v>
      </c>
      <c r="H27" s="22" t="n">
        <v>2950</v>
      </c>
      <c r="J27" s="16" t="inlineStr">
        <is>
          <t>途风旅游网美加/欧洲目的地大巴团；携程口径目的地参团人均2,000–3,000元</t>
        </is>
      </c>
    </row>
    <row r="28">
      <c r="A28" s="12" t="inlineStr">
        <is>
          <t>一日游</t>
        </is>
      </c>
      <c r="B28" s="20" t="n">
        <v>2.3</v>
      </c>
      <c r="C28" s="23" t="n">
        <v>0.13</v>
      </c>
      <c r="D28" s="23" t="n">
        <v>0.13</v>
      </c>
      <c r="E28" s="23" t="n">
        <v>0.135</v>
      </c>
      <c r="F28" s="22" t="n">
        <v>620</v>
      </c>
      <c r="G28" s="22" t="n">
        <v>600</v>
      </c>
      <c r="H28" s="22" t="n">
        <v>600</v>
      </c>
      <c r="J28" s="16" t="inlineStr">
        <is>
          <t>目的地一日游，标准化产品</t>
        </is>
      </c>
    </row>
    <row r="29">
      <c r="A29" s="12" t="inlineStr">
        <is>
          <t>含大交通散拼团-小车</t>
        </is>
      </c>
      <c r="B29" s="20" t="n">
        <v>2.2</v>
      </c>
      <c r="C29" s="23" t="n">
        <v>0.05</v>
      </c>
      <c r="D29" s="23" t="n">
        <v>0.07000000000000001</v>
      </c>
      <c r="E29" s="23" t="n">
        <v>0.09</v>
      </c>
      <c r="F29" s="22" t="n">
        <v>14500</v>
      </c>
      <c r="G29" s="22" t="n">
        <v>14000</v>
      </c>
      <c r="H29" s="22" t="n">
        <v>13800</v>
      </c>
      <c r="J29" s="16" t="inlineStr">
        <is>
          <t>精品小团团费通常高于常规跟团约两成，且集中在欧洲等长线；众信主推2–16人欧洲精品小团、Mini Tour/U-love</t>
        </is>
      </c>
    </row>
    <row r="30">
      <c r="A30" s="12" t="inlineStr">
        <is>
          <t>当地拼团-小车</t>
        </is>
      </c>
      <c r="B30" s="20" t="n">
        <v>2.4</v>
      </c>
      <c r="C30" s="23" t="n">
        <v>0.025</v>
      </c>
      <c r="D30" s="23" t="n">
        <v>0.03</v>
      </c>
      <c r="E30" s="23" t="n">
        <v>0.035</v>
      </c>
      <c r="F30" s="22" t="n">
        <v>4000</v>
      </c>
      <c r="G30" s="22" t="n">
        <v>4000</v>
      </c>
      <c r="H30" s="22" t="n">
        <v>4000</v>
      </c>
      <c r="J30" s="16" t="inlineStr">
        <is>
          <t>途风12人以内目的地小团</t>
        </is>
      </c>
    </row>
    <row r="31">
      <c r="A31" s="12" t="inlineStr">
        <is>
          <t>含大交通私家团</t>
        </is>
      </c>
      <c r="B31" s="20" t="n">
        <v>3.2</v>
      </c>
      <c r="C31" s="23" t="n">
        <v>0.035</v>
      </c>
      <c r="D31" s="23" t="n">
        <v>0.045</v>
      </c>
      <c r="E31" s="23" t="n">
        <v>0.055</v>
      </c>
      <c r="F31" s="22" t="n">
        <v>15500</v>
      </c>
      <c r="G31" s="22" t="n">
        <v>15000</v>
      </c>
      <c r="H31" s="22" t="n">
        <v>14800</v>
      </c>
      <c r="J31" s="16" t="inlineStr">
        <is>
          <t>私家团以家庭为单位成团；携程口径出发地参团私家团人均&gt;5,000元（含国内），出境长短线加权更高</t>
        </is>
      </c>
    </row>
    <row r="32">
      <c r="A32" s="12" t="inlineStr">
        <is>
          <t>当地私家团</t>
        </is>
      </c>
      <c r="B32" s="20" t="n">
        <v>3.4</v>
      </c>
      <c r="C32" s="23" t="n">
        <v>0.02</v>
      </c>
      <c r="D32" s="23" t="n">
        <v>0.025</v>
      </c>
      <c r="E32" s="23" t="n">
        <v>0.03</v>
      </c>
      <c r="F32" s="22" t="n">
        <v>3500</v>
      </c>
      <c r="G32" s="22" t="n">
        <v>3500</v>
      </c>
      <c r="H32" s="22" t="n">
        <v>3500</v>
      </c>
      <c r="J32" s="16" t="inlineStr">
        <is>
          <t>携程口径私家团人均&gt;3,500元</t>
        </is>
      </c>
    </row>
    <row r="33">
      <c r="A33" s="12" t="inlineStr">
        <is>
          <t>含大交通定制</t>
        </is>
      </c>
      <c r="B33" s="20" t="n">
        <v>3</v>
      </c>
      <c r="C33" s="23" t="n">
        <v>0.012</v>
      </c>
      <c r="D33" s="23" t="n">
        <v>0.015</v>
      </c>
      <c r="E33" s="23" t="n">
        <v>0.018</v>
      </c>
      <c r="F33" s="22" t="n">
        <v>26000</v>
      </c>
      <c r="G33" s="22" t="n">
        <v>25000</v>
      </c>
      <c r="H33" s="22" t="n">
        <v>25000</v>
      </c>
      <c r="J33" s="16" t="inlineStr">
        <is>
          <t>定制游客单价约为跟团游2–3倍；优定制以长线高端为主，累计服务5万+人次</t>
        </is>
      </c>
    </row>
    <row r="34">
      <c r="A34" s="12" t="inlineStr">
        <is>
          <t>当地定制</t>
        </is>
      </c>
      <c r="B34" s="20" t="n">
        <v>3</v>
      </c>
      <c r="C34" s="23" t="n">
        <v>0.003</v>
      </c>
      <c r="D34" s="23" t="n">
        <v>0.005</v>
      </c>
      <c r="E34" s="23" t="n">
        <v>0.007</v>
      </c>
      <c r="F34" s="22" t="n">
        <v>8000</v>
      </c>
      <c r="G34" s="22" t="n">
        <v>8000</v>
      </c>
      <c r="H34" s="22" t="n">
        <v>8000</v>
      </c>
      <c r="J34" s="16" t="inlineStr">
        <is>
          <t>目的地定制包车/管家服务</t>
        </is>
      </c>
    </row>
    <row r="35">
      <c r="A35" s="12" t="inlineStr">
        <is>
          <t>合计（校验=100%）</t>
        </is>
      </c>
      <c r="C35" s="21">
        <f>SUM(C26:C34)</f>
        <v/>
      </c>
      <c r="D35" s="21">
        <f>SUM(D26:D34)</f>
        <v/>
      </c>
      <c r="E35" s="21">
        <f>SUM(E26:E34)</f>
        <v/>
      </c>
    </row>
    <row r="37">
      <c r="A37" s="11" t="inlineStr">
        <is>
          <t>E. 产出</t>
        </is>
      </c>
      <c r="B37" s="11" t="inlineStr">
        <is>
          <t>2024全年</t>
        </is>
      </c>
      <c r="C37" s="11" t="inlineStr">
        <is>
          <t>2025全年</t>
        </is>
      </c>
      <c r="D37" s="11" t="inlineStr">
        <is>
          <t>2025 1-8月</t>
        </is>
      </c>
      <c r="E37" s="11" t="inlineStr">
        <is>
          <t>2026 1-8月</t>
        </is>
      </c>
      <c r="F37" s="11" t="inlineStr">
        <is>
          <t>2026vs2025 1-8月</t>
        </is>
      </c>
      <c r="G37" s="11" t="inlineStr"/>
      <c r="H37" s="11" t="inlineStr"/>
      <c r="I37" s="11" t="inlineStr"/>
      <c r="J37" s="11" t="inlineStr">
        <is>
          <t>说明</t>
        </is>
      </c>
    </row>
    <row r="38">
      <c r="A38" s="12" t="inlineStr">
        <is>
          <t>加权人均价（元/人）</t>
        </is>
      </c>
      <c r="B38" s="24">
        <f>SUMPRODUCT(C26:C34,F26:F34)</f>
        <v/>
      </c>
      <c r="C38" s="24">
        <f>SUMPRODUCT(D26:D34,G26:G34)</f>
        <v/>
      </c>
      <c r="D38" s="24">
        <f>SUMPRODUCT(D26:D34,G26:G34)</f>
        <v/>
      </c>
      <c r="E38" s="24">
        <f>SUMPRODUCT(E26:E34,H26:H34)</f>
        <v/>
      </c>
      <c r="F38" s="25">
        <f>E38/D38-1</f>
        <v/>
      </c>
    </row>
    <row r="39">
      <c r="A39" s="12" t="inlineStr">
        <is>
          <t>九类产品总收客人次</t>
        </is>
      </c>
      <c r="B39" s="24">
        <f>B23*100000000/B38</f>
        <v/>
      </c>
      <c r="C39" s="24">
        <f>C23*100000000/C38</f>
        <v/>
      </c>
      <c r="D39" s="24">
        <f>D23*100000000/D38</f>
        <v/>
      </c>
      <c r="E39" s="24">
        <f>E23*100000000/E38</f>
        <v/>
      </c>
      <c r="F39" s="25">
        <f>E39/D39-1</f>
        <v/>
      </c>
      <c r="J39" s="16" t="inlineStr">
        <is>
          <t>＝九类产品成交额÷加权人均价</t>
        </is>
      </c>
    </row>
    <row r="41">
      <c r="A41" s="26" t="inlineStr">
        <is>
          <t>订单均价（元/单）</t>
        </is>
      </c>
    </row>
    <row r="42">
      <c r="A42" s="12" t="inlineStr">
        <is>
          <t>含大交通散拼团-大车</t>
        </is>
      </c>
      <c r="B42" s="24">
        <f>ROUND(F26*$B26,0)</f>
        <v/>
      </c>
      <c r="C42" s="24">
        <f>ROUND(G26*$B26,0)</f>
        <v/>
      </c>
      <c r="D42" s="24">
        <f>ROUND(G26*$B26,0)</f>
        <v/>
      </c>
      <c r="E42" s="24">
        <f>ROUND(H26*$B26,0)</f>
        <v/>
      </c>
      <c r="F42" s="27">
        <f>E42/D42-1</f>
        <v/>
      </c>
    </row>
    <row r="43">
      <c r="A43" s="12" t="inlineStr">
        <is>
          <t>当地拼团多日游-大车</t>
        </is>
      </c>
      <c r="B43" s="24">
        <f>ROUND(F27*$B27,0)</f>
        <v/>
      </c>
      <c r="C43" s="24">
        <f>ROUND(G27*$B27,0)</f>
        <v/>
      </c>
      <c r="D43" s="24">
        <f>ROUND(G27*$B27,0)</f>
        <v/>
      </c>
      <c r="E43" s="24">
        <f>ROUND(H27*$B27,0)</f>
        <v/>
      </c>
      <c r="F43" s="27">
        <f>E43/D43-1</f>
        <v/>
      </c>
    </row>
    <row r="44">
      <c r="A44" s="12" t="inlineStr">
        <is>
          <t>一日游</t>
        </is>
      </c>
      <c r="B44" s="24">
        <f>ROUND(F28*$B28,0)</f>
        <v/>
      </c>
      <c r="C44" s="24">
        <f>ROUND(G28*$B28,0)</f>
        <v/>
      </c>
      <c r="D44" s="24">
        <f>ROUND(G28*$B28,0)</f>
        <v/>
      </c>
      <c r="E44" s="24">
        <f>ROUND(H28*$B28,0)</f>
        <v/>
      </c>
      <c r="F44" s="27">
        <f>E44/D44-1</f>
        <v/>
      </c>
    </row>
    <row r="45">
      <c r="A45" s="12" t="inlineStr">
        <is>
          <t>含大交通散拼团-小车</t>
        </is>
      </c>
      <c r="B45" s="24">
        <f>ROUND(F29*$B29,0)</f>
        <v/>
      </c>
      <c r="C45" s="24">
        <f>ROUND(G29*$B29,0)</f>
        <v/>
      </c>
      <c r="D45" s="24">
        <f>ROUND(G29*$B29,0)</f>
        <v/>
      </c>
      <c r="E45" s="24">
        <f>ROUND(H29*$B29,0)</f>
        <v/>
      </c>
      <c r="F45" s="27">
        <f>E45/D45-1</f>
        <v/>
      </c>
    </row>
    <row r="46">
      <c r="A46" s="12" t="inlineStr">
        <is>
          <t>当地拼团-小车</t>
        </is>
      </c>
      <c r="B46" s="24">
        <f>ROUND(F30*$B30,0)</f>
        <v/>
      </c>
      <c r="C46" s="24">
        <f>ROUND(G30*$B30,0)</f>
        <v/>
      </c>
      <c r="D46" s="24">
        <f>ROUND(G30*$B30,0)</f>
        <v/>
      </c>
      <c r="E46" s="24">
        <f>ROUND(H30*$B30,0)</f>
        <v/>
      </c>
      <c r="F46" s="27">
        <f>E46/D46-1</f>
        <v/>
      </c>
    </row>
    <row r="47">
      <c r="A47" s="12" t="inlineStr">
        <is>
          <t>含大交通私家团</t>
        </is>
      </c>
      <c r="B47" s="24">
        <f>ROUND(F31*$B31,0)</f>
        <v/>
      </c>
      <c r="C47" s="24">
        <f>ROUND(G31*$B31,0)</f>
        <v/>
      </c>
      <c r="D47" s="24">
        <f>ROUND(G31*$B31,0)</f>
        <v/>
      </c>
      <c r="E47" s="24">
        <f>ROUND(H31*$B31,0)</f>
        <v/>
      </c>
      <c r="F47" s="27">
        <f>E47/D47-1</f>
        <v/>
      </c>
    </row>
    <row r="48">
      <c r="A48" s="12" t="inlineStr">
        <is>
          <t>当地私家团</t>
        </is>
      </c>
      <c r="B48" s="24">
        <f>ROUND(F32*$B32,0)</f>
        <v/>
      </c>
      <c r="C48" s="24">
        <f>ROUND(G32*$B32,0)</f>
        <v/>
      </c>
      <c r="D48" s="24">
        <f>ROUND(G32*$B32,0)</f>
        <v/>
      </c>
      <c r="E48" s="24">
        <f>ROUND(H32*$B32,0)</f>
        <v/>
      </c>
      <c r="F48" s="27">
        <f>E48/D48-1</f>
        <v/>
      </c>
    </row>
    <row r="49">
      <c r="A49" s="12" t="inlineStr">
        <is>
          <t>含大交通定制</t>
        </is>
      </c>
      <c r="B49" s="24">
        <f>ROUND(F33*$B33,0)</f>
        <v/>
      </c>
      <c r="C49" s="24">
        <f>ROUND(G33*$B33,0)</f>
        <v/>
      </c>
      <c r="D49" s="24">
        <f>ROUND(G33*$B33,0)</f>
        <v/>
      </c>
      <c r="E49" s="24">
        <f>ROUND(H33*$B33,0)</f>
        <v/>
      </c>
      <c r="F49" s="27">
        <f>E49/D49-1</f>
        <v/>
      </c>
    </row>
    <row r="50">
      <c r="A50" s="12" t="inlineStr">
        <is>
          <t>当地定制</t>
        </is>
      </c>
      <c r="B50" s="24">
        <f>ROUND(F34*$B34,0)</f>
        <v/>
      </c>
      <c r="C50" s="24">
        <f>ROUND(G34*$B34,0)</f>
        <v/>
      </c>
      <c r="D50" s="24">
        <f>ROUND(G34*$B34,0)</f>
        <v/>
      </c>
      <c r="E50" s="24">
        <f>ROUND(H34*$B34,0)</f>
        <v/>
      </c>
      <c r="F50" s="27">
        <f>E50/D50-1</f>
        <v/>
      </c>
    </row>
    <row r="52">
      <c r="A52" s="26" t="inlineStr">
        <is>
          <t>收客人次（人次，取整到百）</t>
        </is>
      </c>
    </row>
    <row r="53">
      <c r="A53" s="12" t="inlineStr">
        <is>
          <t>含大交通散拼团-大车</t>
        </is>
      </c>
      <c r="B53" s="24">
        <f>ROUND(B$39*C26,-2)</f>
        <v/>
      </c>
      <c r="C53" s="24">
        <f>ROUND(C$39*D26,-2)</f>
        <v/>
      </c>
      <c r="D53" s="24">
        <f>ROUND(D$39*D26,-2)</f>
        <v/>
      </c>
      <c r="E53" s="24">
        <f>ROUND(E$39*E26,-2)</f>
        <v/>
      </c>
      <c r="F53" s="27">
        <f>E53/D53-1</f>
        <v/>
      </c>
    </row>
    <row r="54">
      <c r="A54" s="12" t="inlineStr">
        <is>
          <t>当地拼团多日游-大车</t>
        </is>
      </c>
      <c r="B54" s="24">
        <f>ROUND(B$39*C27,-2)</f>
        <v/>
      </c>
      <c r="C54" s="24">
        <f>ROUND(C$39*D27,-2)</f>
        <v/>
      </c>
      <c r="D54" s="24">
        <f>ROUND(D$39*D27,-2)</f>
        <v/>
      </c>
      <c r="E54" s="24">
        <f>ROUND(E$39*E27,-2)</f>
        <v/>
      </c>
      <c r="F54" s="27">
        <f>E54/D54-1</f>
        <v/>
      </c>
    </row>
    <row r="55">
      <c r="A55" s="12" t="inlineStr">
        <is>
          <t>一日游</t>
        </is>
      </c>
      <c r="B55" s="24">
        <f>ROUND(B$39*C28,-2)</f>
        <v/>
      </c>
      <c r="C55" s="24">
        <f>ROUND(C$39*D28,-2)</f>
        <v/>
      </c>
      <c r="D55" s="24">
        <f>ROUND(D$39*D28,-2)</f>
        <v/>
      </c>
      <c r="E55" s="24">
        <f>ROUND(E$39*E28,-2)</f>
        <v/>
      </c>
      <c r="F55" s="27">
        <f>E55/D55-1</f>
        <v/>
      </c>
    </row>
    <row r="56">
      <c r="A56" s="12" t="inlineStr">
        <is>
          <t>含大交通散拼团-小车</t>
        </is>
      </c>
      <c r="B56" s="24">
        <f>ROUND(B$39*C29,-2)</f>
        <v/>
      </c>
      <c r="C56" s="24">
        <f>ROUND(C$39*D29,-2)</f>
        <v/>
      </c>
      <c r="D56" s="24">
        <f>ROUND(D$39*D29,-2)</f>
        <v/>
      </c>
      <c r="E56" s="24">
        <f>ROUND(E$39*E29,-2)</f>
        <v/>
      </c>
      <c r="F56" s="27">
        <f>E56/D56-1</f>
        <v/>
      </c>
    </row>
    <row r="57">
      <c r="A57" s="12" t="inlineStr">
        <is>
          <t>当地拼团-小车</t>
        </is>
      </c>
      <c r="B57" s="24">
        <f>ROUND(B$39*C30,-2)</f>
        <v/>
      </c>
      <c r="C57" s="24">
        <f>ROUND(C$39*D30,-2)</f>
        <v/>
      </c>
      <c r="D57" s="24">
        <f>ROUND(D$39*D30,-2)</f>
        <v/>
      </c>
      <c r="E57" s="24">
        <f>ROUND(E$39*E30,-2)</f>
        <v/>
      </c>
      <c r="F57" s="27">
        <f>E57/D57-1</f>
        <v/>
      </c>
    </row>
    <row r="58">
      <c r="A58" s="12" t="inlineStr">
        <is>
          <t>含大交通私家团</t>
        </is>
      </c>
      <c r="B58" s="24">
        <f>ROUND(B$39*C31,-2)</f>
        <v/>
      </c>
      <c r="C58" s="24">
        <f>ROUND(C$39*D31,-2)</f>
        <v/>
      </c>
      <c r="D58" s="24">
        <f>ROUND(D$39*D31,-2)</f>
        <v/>
      </c>
      <c r="E58" s="24">
        <f>ROUND(E$39*E31,-2)</f>
        <v/>
      </c>
      <c r="F58" s="27">
        <f>E58/D58-1</f>
        <v/>
      </c>
    </row>
    <row r="59">
      <c r="A59" s="12" t="inlineStr">
        <is>
          <t>当地私家团</t>
        </is>
      </c>
      <c r="B59" s="24">
        <f>ROUND(B$39*C32,-2)</f>
        <v/>
      </c>
      <c r="C59" s="24">
        <f>ROUND(C$39*D32,-2)</f>
        <v/>
      </c>
      <c r="D59" s="24">
        <f>ROUND(D$39*D32,-2)</f>
        <v/>
      </c>
      <c r="E59" s="24">
        <f>ROUND(E$39*E32,-2)</f>
        <v/>
      </c>
      <c r="F59" s="27">
        <f>E59/D59-1</f>
        <v/>
      </c>
    </row>
    <row r="60">
      <c r="A60" s="12" t="inlineStr">
        <is>
          <t>含大交通定制</t>
        </is>
      </c>
      <c r="B60" s="24">
        <f>ROUND(B$39*C33,-2)</f>
        <v/>
      </c>
      <c r="C60" s="24">
        <f>ROUND(C$39*D33,-2)</f>
        <v/>
      </c>
      <c r="D60" s="24">
        <f>ROUND(D$39*D33,-2)</f>
        <v/>
      </c>
      <c r="E60" s="24">
        <f>ROUND(E$39*E33,-2)</f>
        <v/>
      </c>
      <c r="F60" s="27">
        <f>E60/D60-1</f>
        <v/>
      </c>
    </row>
    <row r="61">
      <c r="A61" s="12" t="inlineStr">
        <is>
          <t>当地定制</t>
        </is>
      </c>
      <c r="B61" s="24">
        <f>ROUND(B$39*C34,-2)</f>
        <v/>
      </c>
      <c r="C61" s="24">
        <f>ROUND(C$39*D34,-2)</f>
        <v/>
      </c>
      <c r="D61" s="24">
        <f>ROUND(D$39*D34,-2)</f>
        <v/>
      </c>
      <c r="E61" s="24">
        <f>ROUND(E$39*E34,-2)</f>
        <v/>
      </c>
      <c r="F61" s="27">
        <f>E61/D61-1</f>
        <v/>
      </c>
    </row>
    <row r="63">
      <c r="A63" s="11" t="inlineStr">
        <is>
          <t>F. 校验</t>
        </is>
      </c>
      <c r="B63" s="11" t="inlineStr">
        <is>
          <t>2024全年</t>
        </is>
      </c>
      <c r="C63" s="11" t="inlineStr">
        <is>
          <t>2025全年</t>
        </is>
      </c>
      <c r="D63" s="11" t="inlineStr">
        <is>
          <t>2025 1-8月</t>
        </is>
      </c>
      <c r="E63" s="11" t="inlineStr">
        <is>
          <t>2026 1-8月</t>
        </is>
      </c>
      <c r="F63" s="11" t="inlineStr"/>
      <c r="G63" s="11" t="inlineStr"/>
      <c r="H63" s="11" t="inlineStr"/>
      <c r="I63" s="11" t="inlineStr"/>
      <c r="J63" s="11" t="inlineStr">
        <is>
          <t>判读</t>
        </is>
      </c>
    </row>
    <row r="64" ht="30" customHeight="1">
      <c r="A64" s="12" t="inlineStr">
        <is>
          <t>Σ人次×人均价 ÷ 九类成交额（应≈100%）</t>
        </is>
      </c>
      <c r="B64" s="28">
        <f>SUMPRODUCT(B53:B61,F26:F34)/(B23*100000000)</f>
        <v/>
      </c>
      <c r="C64" s="28">
        <f>SUMPRODUCT(C53:C61,G26:G34)/(C23*100000000)</f>
        <v/>
      </c>
      <c r="D64" s="28">
        <f>SUMPRODUCT(D53:D61,G26:G34)/(D23*100000000)</f>
        <v/>
      </c>
      <c r="E64" s="28">
        <f>SUMPRODUCT(E53:E61,H26:H34)/(E23*100000000)</f>
        <v/>
      </c>
      <c r="J64" s="16" t="inlineStr">
        <is>
          <t>人次取整到百带来的误差应&lt;0.1%</t>
        </is>
      </c>
    </row>
    <row r="65" ht="30" customHeight="1">
      <c r="A65" s="12" t="inlineStr">
        <is>
          <t>1–8月占全年成交额（2025）</t>
        </is>
      </c>
      <c r="D65" s="21">
        <f>D22/C22</f>
        <v/>
      </c>
    </row>
    <row r="66" ht="30" customHeight="1">
      <c r="A66" s="12" t="inlineStr">
        <is>
          <t>九类收客人次 ÷（总服务人次−会奖人次），2025</t>
        </is>
      </c>
      <c r="C66" s="21">
        <f>C39/(C10-C11)</f>
        <v/>
      </c>
      <c r="J66" s="16" t="inlineStr">
        <is>
          <t>⚠ 两个锚点的缺口：按收入反推的团队产品人次，只占公司口径服务人次的一半左右。差额应为签证、机票、保险、入境接待等单项服务——公司口径未拆，是全表人次最大的不确定来源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58" customWidth="1" min="6" max="6"/>
  </cols>
  <sheetData>
    <row r="1">
      <c r="A1" s="29" t="inlineStr">
        <is>
          <t>众信旅游（002707.SZ）调研表 · 填写口径与依据</t>
        </is>
      </c>
    </row>
    <row r="3">
      <c r="A3" s="30" t="inlineStr">
        <is>
          <t>一、口径</t>
        </is>
      </c>
    </row>
    <row r="4" ht="34" customHeight="1">
      <c r="A4" s="31" t="inlineStr">
        <is>
          <t>订单均价</t>
        </is>
      </c>
      <c r="B4" s="32" t="inlineStr">
        <is>
          <t>每单终端成交价（元/单）。一单平均2.0–3.4人（拼团约2人，私家团/定制约3人）。若贵方口径为「人均价」，见第四部分附表。</t>
        </is>
      </c>
    </row>
    <row r="5" ht="34" customHeight="1">
      <c r="A5" s="31" t="inlineStr">
        <is>
          <t>收客人次</t>
        </is>
      </c>
      <c r="B5" s="32" t="inlineStr">
        <is>
          <t>九类团队产品的出游人次。不含会奖（众信博睿）、签证、机票等单项服务及入境接待。</t>
        </is>
      </c>
    </row>
    <row r="6" ht="34" customHeight="1">
      <c r="A6" s="31" t="inlineStr">
        <is>
          <t>波动原因</t>
        </is>
      </c>
      <c r="B6" s="32" t="inlineStr">
        <is>
          <t>比较口径为2026年1–8月对2025年1–8月；方向词按涨跌幅自动生成（&gt;+3%增长、&lt;−3%下降、其余基本持平）。</t>
        </is>
      </c>
    </row>
    <row r="7" ht="34" customHeight="1">
      <c r="A7" s="31" t="inlineStr">
        <is>
          <t>产品名称</t>
        </is>
      </c>
      <c r="B7" s="32" t="inlineStr">
        <is>
          <t>表中「当地拼团-小车」（均价行）与「当地拼团多日游-小车」（人次行）按同一类产品处理。</t>
        </is>
      </c>
    </row>
    <row r="8">
      <c r="A8" s="30" t="inlineStr">
        <is>
          <t>二、数据性质与可信度</t>
        </is>
      </c>
    </row>
    <row r="9" ht="34" customHeight="1">
      <c r="A9" s="31" t="inlineStr">
        <is>
          <t>数据性质</t>
        </is>
      </c>
      <c r="B9" s="32" t="inlineStr">
        <is>
          <t>众信未按九类产品披露均价与人次，也不披露月度数据。本表由公开财报收入、公司公布的服务人次、众信旗下悠哉网/途风的公开标价及行业价格带推算。</t>
        </is>
      </c>
    </row>
    <row r="10" ht="34" customHeight="1">
      <c r="A10" s="31" t="inlineStr">
        <is>
          <t>订单均价</t>
        </is>
      </c>
      <c r="B10" s="32" t="inlineStr">
        <is>
          <t>中等可信：锚定众信公开标价（欧洲13天北京出发2.48万元起、自营线3.88万元起，日本6天6,580元起）与行业价格带。</t>
        </is>
      </c>
    </row>
    <row r="11" ht="34" customHeight="1">
      <c r="A11" s="31" t="inlineStr">
        <is>
          <t>收客人次</t>
        </is>
      </c>
      <c r="B11" s="32" t="inlineStr">
        <is>
          <t>较低可信。最大不确定来源：按收入反推，2025年九类团队产品约64万人次，仅占公司口径总服务人次（168万）扣除会奖（24.07万）后的约45%，差额应为签证、机票、保险等单项服务，公司未拆分。</t>
        </is>
      </c>
    </row>
    <row r="13">
      <c r="A13" s="30" t="inlineStr">
        <is>
          <t>三、公开锚点（营业收入，亿元）</t>
        </is>
      </c>
    </row>
    <row r="14">
      <c r="A14" s="33" t="inlineStr">
        <is>
          <t>业务</t>
        </is>
      </c>
      <c r="B14" s="33" t="inlineStr">
        <is>
          <t>2024全年</t>
        </is>
      </c>
      <c r="C14" s="33" t="inlineStr">
        <is>
          <t>2025全年</t>
        </is>
      </c>
      <c r="D14" s="33" t="inlineStr">
        <is>
          <t>2025上半年</t>
        </is>
      </c>
      <c r="E14" s="33" t="inlineStr">
        <is>
          <t>2026上半年</t>
        </is>
      </c>
      <c r="F14" s="33" t="inlineStr">
        <is>
          <t>来源</t>
        </is>
      </c>
    </row>
    <row r="15">
      <c r="A15" s="34" t="inlineStr">
        <is>
          <t>旅游批发</t>
        </is>
      </c>
      <c r="B15" s="35">
        <f>'测算底稿'!B5</f>
        <v/>
      </c>
      <c r="C15" s="35">
        <f>'测算底稿'!C5</f>
        <v/>
      </c>
      <c r="D15" s="35">
        <f>'测算底稿'!D5</f>
        <v/>
      </c>
      <c r="E15" s="35">
        <f>'测算底稿'!E5</f>
        <v/>
      </c>
      <c r="F15" s="36" t="inlineStr">
        <is>
          <t>2025年报、2026中报（经中新经纬、腾讯新闻等转述）；2024与2025上半年按披露同比反推</t>
        </is>
      </c>
    </row>
    <row r="16">
      <c r="A16" s="34" t="inlineStr">
        <is>
          <t>旅游零售</t>
        </is>
      </c>
      <c r="B16" s="35">
        <f>'测算底稿'!B6</f>
        <v/>
      </c>
      <c r="C16" s="35">
        <f>'测算底稿'!C6</f>
        <v/>
      </c>
      <c r="D16" s="35">
        <f>'测算底稿'!D6</f>
        <v/>
      </c>
      <c r="E16" s="35">
        <f>'测算底稿'!E6</f>
        <v/>
      </c>
      <c r="F16" s="36" t="inlineStr">
        <is>
          <t>同上</t>
        </is>
      </c>
    </row>
    <row r="17">
      <c r="A17" s="34" t="inlineStr">
        <is>
          <t>整合营销服务</t>
        </is>
      </c>
      <c r="B17" s="35">
        <f>'测算底稿'!B7</f>
        <v/>
      </c>
      <c r="C17" s="35">
        <f>'测算底稿'!C7</f>
        <v/>
      </c>
      <c r="D17" s="35">
        <f>'测算底稿'!D7</f>
        <v/>
      </c>
      <c r="E17" s="35">
        <f>'测算底稿'!E7</f>
        <v/>
      </c>
      <c r="F17" s="36" t="inlineStr">
        <is>
          <t>同上</t>
        </is>
      </c>
    </row>
    <row r="18">
      <c r="A18" s="34" t="inlineStr">
        <is>
          <t>营业总收入</t>
        </is>
      </c>
      <c r="B18" s="35">
        <f>'测算底稿'!B8</f>
        <v/>
      </c>
      <c r="C18" s="35">
        <f>'测算底稿'!C8</f>
        <v/>
      </c>
      <c r="D18" s="35">
        <f>'测算底稿'!D8</f>
        <v/>
      </c>
      <c r="E18" s="35">
        <f>'测算底稿'!E8</f>
        <v/>
      </c>
      <c r="F18" s="36" t="inlineStr">
        <is>
          <t>同上</t>
        </is>
      </c>
    </row>
    <row r="19">
      <c r="A19" s="34" t="inlineStr">
        <is>
          <t>其他（总收入−三项合计）</t>
        </is>
      </c>
      <c r="B19" s="35">
        <f>'测算底稿'!B9</f>
        <v/>
      </c>
      <c r="C19" s="35">
        <f>'测算底稿'!C9</f>
        <v/>
      </c>
      <c r="D19" s="35">
        <f>'测算底稿'!D9</f>
        <v/>
      </c>
      <c r="E19" s="35">
        <f>'测算底稿'!E9</f>
        <v/>
      </c>
      <c r="F19" s="36" t="inlineStr">
        <is>
          <t>分业务合计与总收入的差额，为未单列的其他收入，非口径矛盾</t>
        </is>
      </c>
    </row>
    <row r="20">
      <c r="A20" s="34" t="inlineStr">
        <is>
          <t>2025总服务人次</t>
        </is>
      </c>
      <c r="C20" s="37">
        <f>'测算底稿'!C10</f>
        <v/>
      </c>
      <c r="F20" s="36" t="inlineStr">
        <is>
          <t>众信旅游集团2025年大数据报告（2025-12-31），含会奖24.07万人次</t>
        </is>
      </c>
    </row>
    <row r="22">
      <c r="A22" s="30" t="inlineStr">
        <is>
          <t>四、附表：人均价（元/人）</t>
        </is>
      </c>
    </row>
    <row r="23">
      <c r="A23" s="33" t="inlineStr">
        <is>
          <t>产品</t>
        </is>
      </c>
      <c r="B23" s="33" t="inlineStr">
        <is>
          <t>2024全年</t>
        </is>
      </c>
      <c r="C23" s="33" t="inlineStr">
        <is>
          <t>2025全年</t>
        </is>
      </c>
      <c r="D23" s="33" t="inlineStr">
        <is>
          <t>2025 1-8月</t>
        </is>
      </c>
      <c r="E23" s="33" t="inlineStr">
        <is>
          <t>2026 1-8月</t>
        </is>
      </c>
      <c r="F23" s="33" t="inlineStr">
        <is>
          <t>单均人数（人/单）</t>
        </is>
      </c>
    </row>
    <row r="24">
      <c r="A24" s="34" t="inlineStr">
        <is>
          <t>含大交通散拼团-大车</t>
        </is>
      </c>
      <c r="B24" s="37">
        <f>'测算底稿'!F26</f>
        <v/>
      </c>
      <c r="C24" s="37">
        <f>'测算底稿'!G26</f>
        <v/>
      </c>
      <c r="D24" s="37">
        <f>'测算底稿'!G26</f>
        <v/>
      </c>
      <c r="E24" s="37">
        <f>'测算底稿'!H26</f>
        <v/>
      </c>
      <c r="F24" s="38">
        <f>'测算底稿'!B26</f>
        <v/>
      </c>
    </row>
    <row r="25">
      <c r="A25" s="34" t="inlineStr">
        <is>
          <t>当地拼团多日游-大车</t>
        </is>
      </c>
      <c r="B25" s="37">
        <f>'测算底稿'!F27</f>
        <v/>
      </c>
      <c r="C25" s="37">
        <f>'测算底稿'!G27</f>
        <v/>
      </c>
      <c r="D25" s="37">
        <f>'测算底稿'!G27</f>
        <v/>
      </c>
      <c r="E25" s="37">
        <f>'测算底稿'!H27</f>
        <v/>
      </c>
      <c r="F25" s="38">
        <f>'测算底稿'!B27</f>
        <v/>
      </c>
    </row>
    <row r="26">
      <c r="A26" s="34" t="inlineStr">
        <is>
          <t>一日游</t>
        </is>
      </c>
      <c r="B26" s="37">
        <f>'测算底稿'!F28</f>
        <v/>
      </c>
      <c r="C26" s="37">
        <f>'测算底稿'!G28</f>
        <v/>
      </c>
      <c r="D26" s="37">
        <f>'测算底稿'!G28</f>
        <v/>
      </c>
      <c r="E26" s="37">
        <f>'测算底稿'!H28</f>
        <v/>
      </c>
      <c r="F26" s="38">
        <f>'测算底稿'!B28</f>
        <v/>
      </c>
    </row>
    <row r="27">
      <c r="A27" s="34" t="inlineStr">
        <is>
          <t>含大交通散拼团-小车</t>
        </is>
      </c>
      <c r="B27" s="37">
        <f>'测算底稿'!F29</f>
        <v/>
      </c>
      <c r="C27" s="37">
        <f>'测算底稿'!G29</f>
        <v/>
      </c>
      <c r="D27" s="37">
        <f>'测算底稿'!G29</f>
        <v/>
      </c>
      <c r="E27" s="37">
        <f>'测算底稿'!H29</f>
        <v/>
      </c>
      <c r="F27" s="38">
        <f>'测算底稿'!B29</f>
        <v/>
      </c>
    </row>
    <row r="28">
      <c r="A28" s="34" t="inlineStr">
        <is>
          <t>当地拼团-小车</t>
        </is>
      </c>
      <c r="B28" s="37">
        <f>'测算底稿'!F30</f>
        <v/>
      </c>
      <c r="C28" s="37">
        <f>'测算底稿'!G30</f>
        <v/>
      </c>
      <c r="D28" s="37">
        <f>'测算底稿'!G30</f>
        <v/>
      </c>
      <c r="E28" s="37">
        <f>'测算底稿'!H30</f>
        <v/>
      </c>
      <c r="F28" s="38">
        <f>'测算底稿'!B30</f>
        <v/>
      </c>
    </row>
    <row r="29">
      <c r="A29" s="34" t="inlineStr">
        <is>
          <t>含大交通私家团</t>
        </is>
      </c>
      <c r="B29" s="37">
        <f>'测算底稿'!F31</f>
        <v/>
      </c>
      <c r="C29" s="37">
        <f>'测算底稿'!G31</f>
        <v/>
      </c>
      <c r="D29" s="37">
        <f>'测算底稿'!G31</f>
        <v/>
      </c>
      <c r="E29" s="37">
        <f>'测算底稿'!H31</f>
        <v/>
      </c>
      <c r="F29" s="38">
        <f>'测算底稿'!B31</f>
        <v/>
      </c>
    </row>
    <row r="30">
      <c r="A30" s="34" t="inlineStr">
        <is>
          <t>当地私家团</t>
        </is>
      </c>
      <c r="B30" s="37">
        <f>'测算底稿'!F32</f>
        <v/>
      </c>
      <c r="C30" s="37">
        <f>'测算底稿'!G32</f>
        <v/>
      </c>
      <c r="D30" s="37">
        <f>'测算底稿'!G32</f>
        <v/>
      </c>
      <c r="E30" s="37">
        <f>'测算底稿'!H32</f>
        <v/>
      </c>
      <c r="F30" s="38">
        <f>'测算底稿'!B32</f>
        <v/>
      </c>
    </row>
    <row r="31">
      <c r="A31" s="34" t="inlineStr">
        <is>
          <t>含大交通定制</t>
        </is>
      </c>
      <c r="B31" s="37">
        <f>'测算底稿'!F33</f>
        <v/>
      </c>
      <c r="C31" s="37">
        <f>'测算底稿'!G33</f>
        <v/>
      </c>
      <c r="D31" s="37">
        <f>'测算底稿'!G33</f>
        <v/>
      </c>
      <c r="E31" s="37">
        <f>'测算底稿'!H33</f>
        <v/>
      </c>
      <c r="F31" s="38">
        <f>'测算底稿'!B33</f>
        <v/>
      </c>
    </row>
    <row r="32">
      <c r="A32" s="34" t="inlineStr">
        <is>
          <t>当地定制</t>
        </is>
      </c>
      <c r="B32" s="37">
        <f>'测算底稿'!F34</f>
        <v/>
      </c>
      <c r="C32" s="37">
        <f>'测算底稿'!G34</f>
        <v/>
      </c>
      <c r="D32" s="37">
        <f>'测算底稿'!G34</f>
        <v/>
      </c>
      <c r="E32" s="37">
        <f>'测算底稿'!H34</f>
        <v/>
      </c>
      <c r="F32" s="38">
        <f>'测算底稿'!B34</f>
        <v/>
      </c>
    </row>
    <row r="34">
      <c r="A34" s="30" t="inlineStr">
        <is>
          <t>五、关键假设</t>
        </is>
      </c>
    </row>
    <row r="35">
      <c r="A35" s="34" t="inlineStr">
        <is>
          <t>批发渠道佣金率</t>
        </is>
      </c>
      <c r="B35" s="39">
        <f>'测算底稿'!B14</f>
        <v/>
      </c>
      <c r="C35" s="32" t="inlineStr">
        <is>
          <t>批发收入为给同行的同行价，按此还原终端成交价</t>
        </is>
      </c>
    </row>
    <row r="36">
      <c r="A36" s="34" t="inlineStr">
        <is>
          <t>九类产品占休闲成交额</t>
        </is>
      </c>
      <c r="B36" s="39">
        <f>'测算底稿'!B15</f>
        <v/>
      </c>
      <c r="C36" s="32" t="inlineStr">
        <is>
          <t>剔除自由行套餐、邮轮、游学、签证、机票等</t>
        </is>
      </c>
    </row>
    <row r="37">
      <c r="A37" s="34" t="inlineStr">
        <is>
          <t>7–8月占全年成交额</t>
        </is>
      </c>
      <c r="B37" s="39">
        <f>'测算底稿'!B16</f>
        <v/>
      </c>
      <c r="C37" s="32" t="inlineStr">
        <is>
          <t>暑期出境高峰；2025上半年占全年约44%</t>
        </is>
      </c>
    </row>
    <row r="38">
      <c r="A38" s="34" t="inlineStr">
        <is>
          <t>2026年7–8月成交额同比</t>
        </is>
      </c>
      <c r="B38" s="40">
        <f>'测算底稿'!B17</f>
        <v/>
      </c>
      <c r="C38" s="32" t="inlineStr">
        <is>
          <t>2026上半年约−5.8%，暑期出入境航线旅客+约3%部分对冲</t>
        </is>
      </c>
    </row>
    <row r="39" ht="30" customHeight="1">
      <c r="A39" s="31" t="inlineStr">
        <is>
          <t>产品结构</t>
        </is>
      </c>
      <c r="B39" s="32">
        <f>"2024→2026逐年向小团、私家团、定制迁移；含大交通大团人次占比 "&amp;TEXT('测算底稿'!C26,"0%")&amp;" → "&amp;TEXT('测算底稿'!D26,"0%")&amp;" → "&amp;TEXT('测算底稿'!E26,"0%")&amp;"（2024全年 → 2025全年 → 2026年1–8月）。"</f>
        <v/>
      </c>
    </row>
    <row r="41">
      <c r="A41" s="30" t="inlineStr">
        <is>
          <t>六、建议访谈核实（最能提升本表精度的四个数）</t>
        </is>
      </c>
    </row>
    <row r="42">
      <c r="A42" s="34" t="inlineStr">
        <is>
          <t>·</t>
        </is>
      </c>
      <c r="B42" s="32" t="inlineStr">
        <is>
          <t>2025年九类团队产品合计出游人次（或168万服务人次的构成）——决定全部人次格的量级</t>
        </is>
      </c>
    </row>
    <row r="43">
      <c r="A43" s="34" t="inlineStr">
        <is>
          <t>·</t>
        </is>
      </c>
      <c r="B43" s="32" t="inlineStr">
        <is>
          <t>批发与零售各自的产品结构：大团 / 小团 / 私家团 / 定制的人次占比</t>
        </is>
      </c>
    </row>
    <row r="44">
      <c r="A44" s="34" t="inlineStr">
        <is>
          <t>·</t>
        </is>
      </c>
      <c r="B44" s="32" t="inlineStr">
        <is>
          <t>7–8月收客占全年比例——决定两列1–8月数据</t>
        </is>
      </c>
    </row>
    <row r="45">
      <c r="A45" s="34" t="inlineStr">
        <is>
          <t>·</t>
        </is>
      </c>
      <c r="B45" s="32" t="inlineStr">
        <is>
          <t>途风（目的地参团）业务规模及一日游占比</t>
        </is>
      </c>
    </row>
  </sheetData>
  <mergeCells count="22">
    <mergeCell ref="B4:F4"/>
    <mergeCell ref="A41:F41"/>
    <mergeCell ref="B7:F7"/>
    <mergeCell ref="C38:F38"/>
    <mergeCell ref="A3:F3"/>
    <mergeCell ref="C37:F37"/>
    <mergeCell ref="B43:F43"/>
    <mergeCell ref="B39:F39"/>
    <mergeCell ref="B11:F11"/>
    <mergeCell ref="B42:F42"/>
    <mergeCell ref="A8:F8"/>
    <mergeCell ref="A22:F22"/>
    <mergeCell ref="B44:F44"/>
    <mergeCell ref="A13:F13"/>
    <mergeCell ref="C35:F35"/>
    <mergeCell ref="B10:F10"/>
    <mergeCell ref="A34:F34"/>
    <mergeCell ref="B9:F9"/>
    <mergeCell ref="B6:F6"/>
    <mergeCell ref="B5:F5"/>
    <mergeCell ref="B45:F45"/>
    <mergeCell ref="C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2026-09-23T01:32:15Z</dcterms:created>
  <dcterms:modified xsi:type="dcterms:W3CDTF">2026-09-23T19:16:23Z</dcterms:modified>
</cp:coreProperties>
</file>