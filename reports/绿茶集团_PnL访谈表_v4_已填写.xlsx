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0" autoFilterDateGrouping="1"/>
  </bookViews>
  <sheets>
    <sheet name="筛选" sheetId="1" state="visible" r:id="rId1"/>
    <sheet name="给食杂超市便利填写" sheetId="2" state="visible" r:id="rId2"/>
    <sheet name="给餐饮填写" sheetId="3" state="visible" r:id="rId3"/>
    <sheet name="给包厂商填写 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\¥#,##0"/>
  </numFmts>
  <fonts count="8">
    <font>
      <name val="Carlito"/>
      <sz val="11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i val="1"/>
      <sz val="10"/>
    </font>
    <font>
      <name val="Microsoft YaHei"/>
      <charset val="134"/>
      <family val="2"/>
      <sz val="10"/>
    </font>
    <font>
      <name val="宋体"/>
      <charset val="134"/>
      <family val="3"/>
      <sz val="9"/>
    </font>
    <font>
      <name val="Microsoft YaHei"/>
      <charset val="134"/>
      <family val="2"/>
      <color theme="1"/>
      <sz val="11"/>
    </font>
    <font>
      <name val="Microsoft YaHei"/>
      <charset val="134"/>
      <family val="2"/>
      <b val="1"/>
      <sz val="10"/>
    </font>
    <font>
      <name val="Microsoft YaHei"/>
      <charset val="134"/>
      <family val="2"/>
      <b val="1"/>
      <color rgb="FFFF0000"/>
      <sz val="10"/>
    </font>
  </fonts>
  <fills count="7">
    <fill>
      <patternFill/>
    </fill>
    <fill>
      <patternFill patternType="gray125"/>
    </fill>
    <fill>
      <patternFill patternType="solid">
        <fgColor rgb="FF134E4A"/>
      </patternFill>
    </fill>
    <fill>
      <patternFill patternType="solid">
        <fgColor rgb="FFFEF3C7"/>
      </patternFill>
    </fill>
    <fill>
      <patternFill patternType="solid">
        <fgColor rgb="FFE5E7EB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"/>
        <bgColor indexed="64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1"/>
  </cellStyleXfs>
  <cellXfs count="96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164" fontId="3" fillId="3" borderId="2" applyAlignment="1" pivotButton="0" quotePrefix="0" xfId="0">
      <alignment vertical="center" wrapText="1"/>
    </xf>
    <xf numFmtId="164" fontId="3" fillId="4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3" fillId="0" borderId="4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5" fillId="0" borderId="10" applyAlignment="1" pivotButton="0" quotePrefix="0" xfId="0">
      <alignment vertical="center" wrapText="1"/>
    </xf>
    <xf numFmtId="0" fontId="3" fillId="0" borderId="12" applyAlignment="1" pivotButton="0" quotePrefix="0" xfId="0">
      <alignment vertical="center" wrapText="1"/>
    </xf>
    <xf numFmtId="0" fontId="3" fillId="0" borderId="13" applyAlignment="1" pivotButton="0" quotePrefix="0" xfId="0">
      <alignment vertical="center" wrapText="1"/>
    </xf>
    <xf numFmtId="0" fontId="3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/>
    </xf>
    <xf numFmtId="0" fontId="1" fillId="2" borderId="15" applyAlignment="1" pivotButton="0" quotePrefix="0" xfId="0">
      <alignment horizontal="center" vertical="center" wrapText="1"/>
    </xf>
    <xf numFmtId="0" fontId="5" fillId="0" borderId="11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164" fontId="3" fillId="3" borderId="4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0" fillId="0" borderId="9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3" fillId="0" borderId="2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164" fontId="3" fillId="3" borderId="21" applyAlignment="1" pivotButton="0" quotePrefix="0" xfId="0">
      <alignment vertical="center" wrapText="1"/>
    </xf>
    <xf numFmtId="0" fontId="1" fillId="2" borderId="19" applyAlignment="1" pivotButton="0" quotePrefix="0" xfId="0">
      <alignment horizontal="center" vertical="center" wrapText="1"/>
    </xf>
    <xf numFmtId="0" fontId="1" fillId="2" borderId="23" applyAlignment="1" pivotButton="0" quotePrefix="0" xfId="0">
      <alignment horizontal="center" vertical="center" wrapText="1"/>
    </xf>
    <xf numFmtId="0" fontId="1" fillId="2" borderId="24" applyAlignment="1" pivotButton="0" quotePrefix="0" xfId="0">
      <alignment horizontal="center" vertical="center" wrapText="1"/>
    </xf>
    <xf numFmtId="0" fontId="3" fillId="0" borderId="25" applyAlignment="1" pivotButton="0" quotePrefix="0" xfId="0">
      <alignment vertical="center" wrapText="1"/>
    </xf>
    <xf numFmtId="164" fontId="3" fillId="3" borderId="25" applyAlignment="1" pivotButton="0" quotePrefix="0" xfId="0">
      <alignment vertical="center" wrapText="1"/>
    </xf>
    <xf numFmtId="164" fontId="3" fillId="4" borderId="25" applyAlignment="1" pivotButton="0" quotePrefix="0" xfId="0">
      <alignment vertical="center" wrapText="1"/>
    </xf>
    <xf numFmtId="0" fontId="6" fillId="0" borderId="25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27" applyAlignment="1" pivotButton="0" quotePrefix="0" xfId="0">
      <alignment vertical="center" wrapText="1"/>
    </xf>
    <xf numFmtId="0" fontId="0" fillId="0" borderId="28" applyAlignment="1" pivotButton="0" quotePrefix="0" xfId="0">
      <alignment vertical="center"/>
    </xf>
    <xf numFmtId="164" fontId="3" fillId="3" borderId="11" applyAlignment="1" pivotButton="0" quotePrefix="0" xfId="0">
      <alignment vertical="center" wrapText="1"/>
    </xf>
    <xf numFmtId="164" fontId="3" fillId="3" borderId="22" applyAlignment="1" pivotButton="0" quotePrefix="0" xfId="0">
      <alignment vertical="center" wrapText="1"/>
    </xf>
    <xf numFmtId="0" fontId="6" fillId="0" borderId="8" applyAlignment="1" pivotButton="0" quotePrefix="0" xfId="0">
      <alignment vertical="center"/>
    </xf>
    <xf numFmtId="0" fontId="1" fillId="2" borderId="17" applyAlignment="1" pivotButton="0" quotePrefix="0" xfId="0">
      <alignment horizontal="center" vertical="center" wrapText="1"/>
    </xf>
    <xf numFmtId="0" fontId="3" fillId="0" borderId="29" applyAlignment="1" pivotButton="0" quotePrefix="0" xfId="0">
      <alignment vertical="center" wrapText="1"/>
    </xf>
    <xf numFmtId="0" fontId="0" fillId="0" borderId="30" applyAlignment="1" pivotButton="0" quotePrefix="0" xfId="0">
      <alignment vertical="center"/>
    </xf>
    <xf numFmtId="0" fontId="5" fillId="0" borderId="16" applyAlignment="1" pivotButton="0" quotePrefix="0" xfId="0">
      <alignment vertical="center" wrapText="1"/>
    </xf>
    <xf numFmtId="0" fontId="5" fillId="0" borderId="18" applyAlignment="1" pivotButton="0" quotePrefix="0" xfId="0">
      <alignment vertical="center" wrapText="1"/>
    </xf>
    <xf numFmtId="0" fontId="1" fillId="5" borderId="5" applyAlignment="1" pivotButton="0" quotePrefix="0" xfId="0">
      <alignment horizontal="left" vertical="center" wrapText="1"/>
    </xf>
    <xf numFmtId="0" fontId="1" fillId="5" borderId="6" applyAlignment="1" pivotButton="0" quotePrefix="0" xfId="0">
      <alignment horizontal="left" vertical="center" wrapText="1"/>
    </xf>
    <xf numFmtId="0" fontId="1" fillId="5" borderId="7" applyAlignment="1" pivotButton="0" quotePrefix="0" xfId="0">
      <alignment horizontal="left" vertical="center" wrapText="1"/>
    </xf>
    <xf numFmtId="0" fontId="2" fillId="6" borderId="8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9" applyAlignment="1" pivotButton="0" quotePrefix="0" xfId="0">
      <alignment horizontal="left" vertical="center" wrapText="1"/>
    </xf>
    <xf numFmtId="0" fontId="1" fillId="2" borderId="17" applyAlignment="1" pivotButton="0" quotePrefix="0" xfId="0">
      <alignment horizontal="center" vertical="center" wrapText="1"/>
    </xf>
    <xf numFmtId="0" fontId="1" fillId="2" borderId="26" applyAlignment="1" pivotButton="0" quotePrefix="0" xfId="0">
      <alignment horizontal="center" vertical="center" wrapText="1"/>
    </xf>
    <xf numFmtId="164" fontId="3" fillId="3" borderId="17" applyAlignment="1" pivotButton="0" quotePrefix="0" xfId="0">
      <alignment horizontal="center" vertical="center" wrapText="1"/>
    </xf>
    <xf numFmtId="164" fontId="3" fillId="3" borderId="26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left" vertical="center" wrapText="1"/>
    </xf>
    <xf numFmtId="0" fontId="5" fillId="0" borderId="18" applyAlignment="1" pivotButton="0" quotePrefix="0" xfId="0">
      <alignment horizontal="left" vertical="center" wrapText="1"/>
    </xf>
    <xf numFmtId="0" fontId="1" fillId="2" borderId="8" applyAlignment="1" pivotButton="0" quotePrefix="0" xfId="0">
      <alignment horizontal="left" vertical="center" wrapText="1"/>
    </xf>
    <xf numFmtId="0" fontId="1" fillId="5" borderId="31" applyAlignment="1" pivotButton="0" quotePrefix="0" xfId="0">
      <alignment horizontal="left" vertical="center" wrapText="1"/>
    </xf>
    <xf numFmtId="0" fontId="1" fillId="2" borderId="32" applyAlignment="1" pivotButton="0" quotePrefix="0" xfId="0">
      <alignment horizontal="left" vertical="center" wrapText="1"/>
    </xf>
    <xf numFmtId="0" fontId="1" fillId="2" borderId="33" applyAlignment="1" pivotButton="0" quotePrefix="0" xfId="0">
      <alignment vertical="center" wrapText="1"/>
    </xf>
    <xf numFmtId="0" fontId="5" fillId="0" borderId="20" applyAlignment="1" pivotButton="0" quotePrefix="0" xfId="0">
      <alignment vertical="center" wrapText="1"/>
    </xf>
    <xf numFmtId="0" fontId="5" fillId="0" borderId="34" applyAlignment="1" pivotButton="0" quotePrefix="0" xfId="0">
      <alignment horizontal="left" vertical="center" wrapText="1"/>
    </xf>
    <xf numFmtId="0" fontId="5" fillId="0" borderId="35" applyAlignment="1" pivotButton="0" quotePrefix="0" xfId="0">
      <alignment horizontal="left" vertical="center" wrapText="1"/>
    </xf>
    <xf numFmtId="0" fontId="5" fillId="0" borderId="35" applyAlignment="1" pivotButton="0" quotePrefix="0" xfId="0">
      <alignment vertical="center" wrapText="1"/>
    </xf>
    <xf numFmtId="0" fontId="5" fillId="0" borderId="22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3" fillId="0" borderId="18" applyAlignment="1" pivotButton="0" quotePrefix="0" xfId="0">
      <alignment vertical="center" wrapText="1"/>
    </xf>
    <xf numFmtId="0" fontId="0" fillId="0" borderId="6" pivotButton="0" quotePrefix="0" xfId="0"/>
    <xf numFmtId="0" fontId="5" fillId="0" borderId="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7" pivotButton="0" quotePrefix="0" xfId="0"/>
    <xf numFmtId="0" fontId="0" fillId="0" borderId="9" pivotButton="0" quotePrefix="0" xfId="0"/>
    <xf numFmtId="0" fontId="5" fillId="0" borderId="21" applyAlignment="1" pivotButton="0" quotePrefix="0" xfId="0">
      <alignment horizontal="left" vertical="center" wrapText="1"/>
    </xf>
    <xf numFmtId="0" fontId="0" fillId="0" borderId="35" pivotButton="0" quotePrefix="0" xfId="0"/>
    <xf numFmtId="0" fontId="2" fillId="6" borderId="32" applyAlignment="1" pivotButton="0" quotePrefix="0" xfId="0">
      <alignment horizontal="left" vertical="center" wrapText="1"/>
    </xf>
    <xf numFmtId="164" fontId="3" fillId="3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 wrapText="1"/>
    </xf>
    <xf numFmtId="164" fontId="3" fillId="4" borderId="2" applyAlignment="1" pivotButton="0" quotePrefix="0" xfId="0">
      <alignment vertical="center" wrapText="1"/>
    </xf>
    <xf numFmtId="164" fontId="3" fillId="3" borderId="4" applyAlignment="1" pivotButton="0" quotePrefix="0" xfId="0">
      <alignment vertical="center" wrapText="1"/>
    </xf>
    <xf numFmtId="164" fontId="3" fillId="3" borderId="25" applyAlignment="1" pivotButton="0" quotePrefix="0" xfId="0">
      <alignment vertical="center" wrapText="1"/>
    </xf>
    <xf numFmtId="164" fontId="3" fillId="4" borderId="25" applyAlignment="1" pivotButton="0" quotePrefix="0" xfId="0">
      <alignment vertical="center" wrapText="1"/>
    </xf>
    <xf numFmtId="164" fontId="3" fillId="3" borderId="11" applyAlignment="1" pivotButton="0" quotePrefix="0" xfId="0">
      <alignment vertical="center" wrapText="1"/>
    </xf>
    <xf numFmtId="164" fontId="3" fillId="3" borderId="21" applyAlignment="1" pivotButton="0" quotePrefix="0" xfId="0">
      <alignment vertical="center" wrapText="1"/>
    </xf>
    <xf numFmtId="164" fontId="3" fillId="3" borderId="22" applyAlignment="1" pivotButton="0" quotePrefix="0" xfId="0">
      <alignment vertical="center" wrapText="1"/>
    </xf>
    <xf numFmtId="0" fontId="0" fillId="0" borderId="17" pivotButton="0" quotePrefix="0" xfId="0"/>
    <xf numFmtId="0" fontId="0" fillId="0" borderId="26" pivotButton="0" quotePrefix="0" xfId="0"/>
    <xf numFmtId="164" fontId="3" fillId="3" borderId="2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tabSelected="1" zoomScale="72" workbookViewId="0">
      <selection activeCell="J20" sqref="J20"/>
    </sheetView>
  </sheetViews>
  <sheetFormatPr baseColWidth="8" defaultColWidth="9" defaultRowHeight="14"/>
  <cols>
    <col width="3.25" customWidth="1" style="2" min="1" max="1"/>
    <col width="19.75" customWidth="1" style="2" min="2" max="2"/>
    <col width="20.08203125" bestFit="1" customWidth="1" style="2" min="3" max="3"/>
    <col width="11.08203125" customWidth="1" style="2" min="4" max="4"/>
    <col width="76.6640625" customWidth="1" style="2" min="5" max="5"/>
    <col width="27.75" customWidth="1" style="2" min="6" max="6"/>
    <col width="9" customWidth="1" style="2" min="7" max="16384"/>
  </cols>
  <sheetData>
    <row r="1" ht="14.5" customHeight="1" thickBot="1">
      <c r="B1" s="12" t="n"/>
      <c r="C1" s="12" t="n"/>
      <c r="D1" s="12" t="n"/>
      <c r="E1" s="12" t="n"/>
      <c r="F1" s="12" t="n"/>
    </row>
    <row r="2" ht="14.5" customHeight="1">
      <c r="A2" s="12" t="n"/>
      <c r="B2" s="53" t="inlineStr">
        <is>
          <t>食杂店/超市/便利店筛选表</t>
        </is>
      </c>
      <c r="C2" s="76" t="n"/>
      <c r="D2" s="76" t="n"/>
      <c r="E2" s="76" t="n"/>
      <c r="F2" s="76" t="n"/>
      <c r="G2" s="12" t="n"/>
    </row>
    <row r="3" ht="14.5" customHeight="1">
      <c r="A3" s="12" t="n"/>
      <c r="B3" s="14" t="n"/>
      <c r="C3" s="10" t="n"/>
      <c r="D3" s="10" t="n"/>
      <c r="E3" s="10" t="n"/>
      <c r="F3" s="15" t="n"/>
      <c r="G3" s="12" t="n"/>
    </row>
    <row r="4" ht="14.5" customHeight="1">
      <c r="A4" s="12" t="n"/>
      <c r="B4" s="16" t="inlineStr">
        <is>
          <t>一、门店基本情况</t>
        </is>
      </c>
      <c r="C4" s="3" t="inlineStr">
        <is>
          <t>问题</t>
        </is>
      </c>
      <c r="D4" s="3" t="inlineStr">
        <is>
          <t>请填写</t>
        </is>
      </c>
      <c r="E4" s="3" t="inlineStr">
        <is>
          <t>单位/选项</t>
        </is>
      </c>
      <c r="F4" s="17" t="inlineStr">
        <is>
          <t>提示例子</t>
        </is>
      </c>
      <c r="G4" s="12" t="n"/>
    </row>
    <row r="5" ht="14.5" customHeight="1">
      <c r="A5" s="12" t="n"/>
      <c r="B5" s="18" t="inlineStr">
        <is>
          <t>基本情况</t>
        </is>
      </c>
      <c r="C5" s="4" t="inlineStr">
        <is>
          <t>城市线级</t>
        </is>
      </c>
      <c r="D5" s="5" t="n"/>
      <c r="E5" s="4" t="inlineStr">
        <is>
          <t>一二线、三四线、县城、乡镇</t>
        </is>
      </c>
      <c r="F5" s="19" t="n"/>
      <c r="G5" s="12" t="n"/>
    </row>
    <row r="6" ht="14.5" customHeight="1">
      <c r="A6" s="12" t="n"/>
      <c r="B6" s="18" t="inlineStr">
        <is>
          <t>基本情况</t>
        </is>
      </c>
      <c r="C6" s="4" t="inlineStr">
        <is>
          <t>门店类型</t>
        </is>
      </c>
      <c r="D6" s="5" t="n"/>
      <c r="E6" s="4" t="inlineStr">
        <is>
          <t>食杂店、私营小超市、连锁便利店、商超（如永辉）</t>
        </is>
      </c>
      <c r="F6" s="19" t="n"/>
      <c r="G6" s="12" t="n"/>
    </row>
    <row r="7" ht="14.5" customHeight="1">
      <c r="A7" s="12" t="n"/>
      <c r="B7" s="18" t="inlineStr">
        <is>
          <t>基本情况</t>
        </is>
      </c>
      <c r="C7" s="4" t="inlineStr">
        <is>
          <t>门店位置/商圈</t>
        </is>
      </c>
      <c r="D7" s="5" t="n"/>
      <c r="E7" s="4" t="inlineStr">
        <is>
          <t>文字</t>
        </is>
      </c>
      <c r="F7" s="19" t="inlineStr">
        <is>
          <t>如：小区门口、学校旁、工厂旁</t>
        </is>
      </c>
      <c r="G7" s="12" t="n"/>
    </row>
    <row r="8" ht="14.5" customHeight="1">
      <c r="A8" s="12" t="n"/>
      <c r="B8" s="18" t="inlineStr">
        <is>
          <t>基本情况</t>
        </is>
      </c>
      <c r="C8" s="4" t="inlineStr">
        <is>
          <t>门店面积</t>
        </is>
      </c>
      <c r="D8" s="5" t="n"/>
      <c r="E8" s="4" t="inlineStr">
        <is>
          <t>平方米</t>
        </is>
      </c>
      <c r="F8" s="19" t="inlineStr">
        <is>
          <t>大概即可</t>
        </is>
      </c>
      <c r="G8" s="12" t="n"/>
    </row>
    <row r="9" ht="14.5" customHeight="1">
      <c r="A9" s="12" t="n"/>
      <c r="B9" s="18" t="inlineStr">
        <is>
          <t>基本情况</t>
        </is>
      </c>
      <c r="C9" s="4" t="inlineStr">
        <is>
          <t>柜台数</t>
        </is>
      </c>
      <c r="D9" s="5" t="n"/>
      <c r="E9" s="4" t="inlineStr">
        <is>
          <t>个</t>
        </is>
      </c>
      <c r="F9" s="19" t="inlineStr">
        <is>
          <t>如：1</t>
        </is>
      </c>
      <c r="G9" s="12" t="n"/>
    </row>
    <row r="10" ht="14.5" customHeight="1">
      <c r="A10" s="12" t="n"/>
      <c r="B10" s="18" t="inlineStr">
        <is>
          <t>基本情况</t>
        </is>
      </c>
      <c r="C10" s="4" t="inlineStr">
        <is>
          <t>几个人看店</t>
        </is>
      </c>
      <c r="D10" s="5" t="n"/>
      <c r="E10" s="4" t="inlineStr">
        <is>
          <t>人</t>
        </is>
      </c>
      <c r="F10" s="19" t="inlineStr">
        <is>
          <t>夫妻2人+员工1人，就填3</t>
        </is>
      </c>
      <c r="G10" s="12" t="n"/>
    </row>
    <row r="11" ht="14.5" customHeight="1">
      <c r="A11" s="12" t="n"/>
      <c r="B11" s="18" t="inlineStr">
        <is>
          <t>基本情况</t>
        </is>
      </c>
      <c r="C11" s="4" t="inlineStr">
        <is>
          <t>是否请员工</t>
        </is>
      </c>
      <c r="D11" s="5" t="n"/>
      <c r="E11" s="4" t="inlineStr">
        <is>
          <t>是/否</t>
        </is>
      </c>
      <c r="F11" s="19" t="n"/>
      <c r="G11" s="12" t="n"/>
    </row>
    <row r="12" ht="14.5" customHeight="1">
      <c r="B12" s="14" t="n"/>
      <c r="C12" s="10" t="n"/>
      <c r="D12" s="10" t="n"/>
      <c r="E12" s="10" t="n"/>
      <c r="F12" s="15" t="n"/>
    </row>
    <row r="13" ht="14.5" customHeight="1">
      <c r="B13" s="65" t="inlineStr">
        <is>
          <t>二、店铺销售以下哪些品牌</t>
        </is>
      </c>
    </row>
    <row r="14" ht="14.5" customHeight="1">
      <c r="B14" s="25" t="inlineStr">
        <is>
          <t>品类</t>
        </is>
      </c>
      <c r="C14" s="27" t="inlineStr">
        <is>
          <t>所有进店品牌</t>
        </is>
      </c>
      <c r="D14" s="27" t="n"/>
      <c r="E14" s="27" t="inlineStr">
        <is>
          <t>货柜/冰柜/堆头照片</t>
        </is>
      </c>
      <c r="F14" s="27" t="n"/>
    </row>
    <row r="15" ht="50.5" customHeight="1">
      <c r="B15" s="20" t="inlineStr">
        <is>
          <t>软饮</t>
        </is>
      </c>
      <c r="C15" s="77" t="n"/>
      <c r="D15" s="78" t="n"/>
      <c r="E15" s="51" t="n"/>
      <c r="F15" s="26" t="n"/>
    </row>
    <row r="16" ht="33" customHeight="1">
      <c r="B16" s="20" t="inlineStr">
        <is>
          <t>水</t>
        </is>
      </c>
      <c r="C16" s="77" t="n"/>
      <c r="D16" s="78" t="n"/>
      <c r="E16" s="51" t="n"/>
      <c r="F16" s="26" t="n"/>
    </row>
    <row r="17" ht="33" customHeight="1">
      <c r="B17" s="20" t="inlineStr">
        <is>
          <t>能量饮料</t>
        </is>
      </c>
      <c r="C17" s="77" t="n"/>
      <c r="D17" s="78" t="n"/>
      <c r="E17" s="51" t="n"/>
      <c r="F17" s="26" t="n"/>
    </row>
    <row r="18" ht="33" customHeight="1">
      <c r="B18" s="20" t="inlineStr">
        <is>
          <t>方便面</t>
        </is>
      </c>
      <c r="C18" s="77" t="n"/>
      <c r="D18" s="78" t="n"/>
      <c r="E18" s="51" t="n"/>
      <c r="F18" s="26" t="n"/>
    </row>
    <row r="19" ht="33" customHeight="1">
      <c r="B19" s="20" t="inlineStr">
        <is>
          <t>常温奶</t>
        </is>
      </c>
      <c r="C19" s="77" t="n"/>
      <c r="D19" s="78" t="n"/>
      <c r="E19" s="51" t="n"/>
      <c r="F19" s="26" t="n"/>
    </row>
    <row r="20" ht="33" customHeight="1">
      <c r="B20" s="20" t="inlineStr">
        <is>
          <t>牙膏</t>
        </is>
      </c>
      <c r="C20" s="77" t="n"/>
      <c r="D20" s="78" t="n"/>
      <c r="E20" s="51" t="n"/>
      <c r="F20" s="26" t="n"/>
    </row>
    <row r="21" ht="33" customHeight="1">
      <c r="B21" s="20" t="inlineStr">
        <is>
          <t>洗发沐浴</t>
        </is>
      </c>
      <c r="C21" s="77" t="n"/>
      <c r="D21" s="78" t="n"/>
      <c r="E21" s="52" t="n"/>
      <c r="F21" s="26" t="n"/>
    </row>
    <row r="22" ht="15" customHeight="1" thickBot="1">
      <c r="B22" s="21" t="n"/>
      <c r="C22" s="22" t="n"/>
      <c r="D22" s="22" t="n"/>
      <c r="E22" s="22" t="n"/>
      <c r="F22" s="23" t="n"/>
    </row>
    <row r="23" ht="14.5" customHeight="1">
      <c r="B23" s="1" t="n"/>
      <c r="C23" s="1" t="n"/>
      <c r="D23" s="1" t="n"/>
      <c r="E23" s="1" t="n"/>
      <c r="F23" s="1" t="n"/>
    </row>
    <row r="24" ht="14.5" customFormat="1" customHeight="1" s="24" thickBot="1"/>
    <row r="25" ht="14.5" customFormat="1" customHeight="1" s="24">
      <c r="B25" s="66" t="inlineStr">
        <is>
          <t>餐饮筛选表</t>
        </is>
      </c>
      <c r="C25" s="76" t="n"/>
      <c r="D25" s="76" t="n"/>
      <c r="E25" s="76" t="n"/>
      <c r="F25" s="79" t="n"/>
    </row>
    <row r="26" ht="14.5" customFormat="1" customHeight="1" s="24">
      <c r="B26" s="14" t="n"/>
      <c r="C26" s="10" t="n"/>
      <c r="D26" s="10" t="n"/>
      <c r="E26" s="10" t="n"/>
      <c r="F26" s="15" t="n"/>
    </row>
    <row r="27" ht="14.5" customFormat="1" customHeight="1" s="24">
      <c r="B27" s="16" t="inlineStr">
        <is>
          <t>一、门店基本情况</t>
        </is>
      </c>
      <c r="C27" s="3" t="inlineStr">
        <is>
          <t>问题</t>
        </is>
      </c>
      <c r="D27" s="3" t="inlineStr">
        <is>
          <t>请填写</t>
        </is>
      </c>
      <c r="E27" s="3" t="inlineStr">
        <is>
          <t>单位/选项</t>
        </is>
      </c>
      <c r="F27" s="17" t="inlineStr">
        <is>
          <t>提示例子</t>
        </is>
      </c>
    </row>
    <row r="28" ht="14.5" customFormat="1" customHeight="1" s="24">
      <c r="B28" s="18" t="inlineStr">
        <is>
          <t>基本情况</t>
        </is>
      </c>
      <c r="C28" s="4" t="inlineStr">
        <is>
          <t>城市线级</t>
        </is>
      </c>
      <c r="D28" s="5" t="inlineStr">
        <is>
          <t>全覆盖：一线+15个新一线+31个二线+91个三线及以下城市（一二线为主力）</t>
        </is>
      </c>
      <c r="E28" s="4" t="inlineStr">
        <is>
          <t>一二线、三四线、县城、乡镇</t>
        </is>
      </c>
      <c r="F28" s="19" t="n"/>
    </row>
    <row r="29" ht="14.5" customFormat="1" customHeight="1" s="24">
      <c r="B29" s="18" t="inlineStr">
        <is>
          <t>基本情况</t>
        </is>
      </c>
      <c r="C29" s="4" t="inlineStr">
        <is>
          <t>门店类型</t>
        </is>
      </c>
      <c r="D29" s="5" t="inlineStr">
        <is>
          <t>连锁（100%直营，不加盟）</t>
        </is>
      </c>
      <c r="E29" s="4" t="inlineStr">
        <is>
          <t>个体私营、连锁</t>
        </is>
      </c>
      <c r="F29" s="19" t="n"/>
    </row>
    <row r="30" ht="14.5" customFormat="1" customHeight="1" s="24">
      <c r="B30" s="18" t="inlineStr">
        <is>
          <t>基本情况</t>
        </is>
      </c>
      <c r="C30" s="4" t="inlineStr">
        <is>
          <t>门店位置/商圈</t>
        </is>
      </c>
      <c r="D30" s="5" t="inlineStr">
        <is>
          <t>购物中心/商场内（80%以上门店位于此，未涉足社区底商）</t>
        </is>
      </c>
      <c r="E30" s="4" t="inlineStr">
        <is>
          <t>文字</t>
        </is>
      </c>
      <c r="F30" s="19" t="inlineStr">
        <is>
          <t>如：小区门口、学校旁、工厂旁</t>
        </is>
      </c>
    </row>
    <row r="31" ht="14.5" customHeight="1">
      <c r="B31" s="18" t="inlineStr">
        <is>
          <t>基本情况</t>
        </is>
      </c>
      <c r="C31" s="4" t="inlineStr">
        <is>
          <t>门店面积</t>
        </is>
      </c>
      <c r="D31" s="5" t="inlineStr">
        <is>
          <t>约450–700㎡（当前主推&lt;450㎡小型店型）</t>
        </is>
      </c>
      <c r="E31" s="4" t="inlineStr">
        <is>
          <t>平方米</t>
        </is>
      </c>
      <c r="F31" s="19" t="inlineStr">
        <is>
          <t>大概即可</t>
        </is>
      </c>
    </row>
    <row r="32" ht="14.5" customHeight="1">
      <c r="B32" s="18" t="inlineStr">
        <is>
          <t>基本情况</t>
        </is>
      </c>
      <c r="C32" s="4" t="inlineStr">
        <is>
          <t>桌数</t>
        </is>
      </c>
      <c r="D32" s="5" t="inlineStr">
        <is>
          <t>约40–55桌（估算）</t>
        </is>
      </c>
      <c r="E32" s="4" t="inlineStr">
        <is>
          <t>个</t>
        </is>
      </c>
      <c r="F32" s="19" t="inlineStr">
        <is>
          <t>如：1</t>
        </is>
      </c>
    </row>
    <row r="33" ht="14.5" customHeight="1">
      <c r="B33" s="18" t="inlineStr">
        <is>
          <t>基本情况</t>
        </is>
      </c>
      <c r="C33" s="4" t="inlineStr">
        <is>
          <t>客单价</t>
        </is>
      </c>
      <c r="D33" s="5" t="n">
        <v>56.2</v>
      </c>
      <c r="E33" s="4" t="inlineStr">
        <is>
          <t>元</t>
        </is>
      </c>
      <c r="F33" s="19" t="n"/>
    </row>
    <row r="34" ht="14.5" customHeight="1">
      <c r="B34" s="14" t="n"/>
      <c r="C34" s="10" t="n"/>
      <c r="D34" s="10" t="n"/>
      <c r="E34" s="10" t="n"/>
      <c r="F34" s="15" t="n"/>
    </row>
    <row r="35" ht="14.5" customHeight="1">
      <c r="B35" s="67" t="inlineStr">
        <is>
          <t>二、店铺销售以下哪些品牌</t>
        </is>
      </c>
      <c r="F35" s="80" t="n"/>
    </row>
    <row r="36" ht="14.5" customHeight="1">
      <c r="B36" s="25" t="inlineStr">
        <is>
          <t>品类</t>
        </is>
      </c>
      <c r="C36" s="27" t="inlineStr">
        <is>
          <t>所有进店品牌</t>
        </is>
      </c>
      <c r="D36" s="27" t="n"/>
      <c r="E36" s="27" t="inlineStr">
        <is>
          <t>货柜/冰柜/堆头照片</t>
        </is>
      </c>
      <c r="F36" s="68" t="n"/>
    </row>
    <row r="37" ht="50.5" customHeight="1">
      <c r="B37" s="20" t="inlineStr">
        <is>
          <t>软饮</t>
        </is>
      </c>
      <c r="C37" s="77" t="inlineStr">
        <is>
          <t>可口可乐、雪碧、王老吉（推断，非公开数据）</t>
        </is>
      </c>
      <c r="D37" s="78" t="n"/>
      <c r="E37" s="51" t="n"/>
      <c r="F37" s="26" t="n"/>
    </row>
    <row r="38" ht="33" customHeight="1">
      <c r="B38" s="20" t="inlineStr">
        <is>
          <t>水</t>
        </is>
      </c>
      <c r="C38" s="77" t="inlineStr">
        <is>
          <t>农夫山泉、怡宝（推断，非公开数据）</t>
        </is>
      </c>
      <c r="D38" s="78" t="n"/>
      <c r="E38" s="51" t="n"/>
      <c r="F38" s="26" t="n"/>
    </row>
    <row r="39" ht="33" customHeight="1">
      <c r="B39" s="20" t="inlineStr">
        <is>
          <t>能量饮料</t>
        </is>
      </c>
      <c r="C39" s="77" t="inlineStr">
        <is>
          <t>大概率不主推/未配置（正餐堂食场景需求弱）</t>
        </is>
      </c>
      <c r="D39" s="78" t="n"/>
      <c r="E39" s="51" t="n"/>
      <c r="F39" s="26" t="n"/>
    </row>
    <row r="40" ht="33" customHeight="1">
      <c r="B40" s="20" t="inlineStr">
        <is>
          <t>方便面</t>
        </is>
      </c>
      <c r="C40" s="77" t="inlineStr">
        <is>
          <t>不适用（现制菜品正餐渠道，非零售货架品类）</t>
        </is>
      </c>
      <c r="D40" s="78" t="n"/>
      <c r="E40" s="51" t="n"/>
      <c r="F40" s="26" t="n"/>
    </row>
    <row r="41" ht="33" customHeight="1">
      <c r="B41" s="20" t="inlineStr">
        <is>
          <t>常温奶</t>
        </is>
      </c>
      <c r="C41" s="77" t="inlineStr">
        <is>
          <t>大概率不在架（正餐场景无天然消费场景）</t>
        </is>
      </c>
      <c r="D41" s="78" t="n"/>
      <c r="E41" s="51" t="n"/>
      <c r="F41" s="26" t="n"/>
    </row>
    <row r="42" ht="33" customHeight="1">
      <c r="B42" s="20" t="inlineStr">
        <is>
          <t>牙膏</t>
        </is>
      </c>
      <c r="C42" s="77" t="inlineStr">
        <is>
          <t>不适用（餐饮堂食场景不涉及个护零售）</t>
        </is>
      </c>
      <c r="D42" s="78" t="n"/>
      <c r="E42" s="51" t="n"/>
      <c r="F42" s="26" t="n"/>
    </row>
    <row r="43" ht="33" customHeight="1" thickBot="1">
      <c r="B43" s="69" t="inlineStr">
        <is>
          <t>洗发沐浴</t>
        </is>
      </c>
      <c r="C43" s="81" t="inlineStr">
        <is>
          <t>不适用（餐饮堂食场景不涉及个护零售）</t>
        </is>
      </c>
      <c r="D43" s="82" t="n"/>
      <c r="E43" s="72" t="n"/>
      <c r="F43" s="73" t="n"/>
    </row>
    <row r="45" ht="15" customHeight="1" thickBot="1">
      <c r="B45" s="1" t="n"/>
      <c r="C45" s="1" t="n"/>
      <c r="D45" s="1" t="n"/>
      <c r="E45" s="1" t="n"/>
      <c r="F45" s="1" t="n"/>
    </row>
    <row r="46" ht="14.5" customHeight="1">
      <c r="B46" s="66" t="inlineStr">
        <is>
          <t>包厂商筛选表</t>
        </is>
      </c>
      <c r="C46" s="76" t="n"/>
      <c r="D46" s="76" t="n"/>
      <c r="E46" s="76" t="n"/>
      <c r="F46" s="79" t="n"/>
    </row>
    <row r="47" ht="14.5" customHeight="1">
      <c r="B47" s="47" t="inlineStr">
        <is>
          <t>选择一家代表性的包场门店，填写以下内容</t>
        </is>
      </c>
      <c r="C47" s="10" t="n"/>
      <c r="D47" s="10" t="n"/>
      <c r="E47" s="10" t="n"/>
      <c r="F47" s="15" t="n"/>
    </row>
    <row r="48" ht="14.5" customHeight="1">
      <c r="B48" s="16" t="inlineStr">
        <is>
          <t>一、门店基本情况</t>
        </is>
      </c>
      <c r="C48" s="3" t="inlineStr">
        <is>
          <t>问题</t>
        </is>
      </c>
      <c r="D48" s="3" t="inlineStr">
        <is>
          <t>请填写</t>
        </is>
      </c>
      <c r="E48" s="3" t="inlineStr">
        <is>
          <t>单位/选项</t>
        </is>
      </c>
      <c r="F48" s="17" t="inlineStr">
        <is>
          <t>提示例子</t>
        </is>
      </c>
    </row>
    <row r="49" ht="14.5" customHeight="1">
      <c r="B49" s="18" t="inlineStr">
        <is>
          <t>基本情况</t>
        </is>
      </c>
      <c r="C49" s="4" t="inlineStr">
        <is>
          <t>城市线级</t>
        </is>
      </c>
      <c r="D49" s="5" t="n"/>
      <c r="E49" s="4" t="inlineStr">
        <is>
          <t>一二线、三四线、县城、乡镇</t>
        </is>
      </c>
      <c r="F49" s="19" t="n"/>
    </row>
    <row r="50" ht="14.5" customHeight="1">
      <c r="B50" s="18" t="inlineStr">
        <is>
          <t>基本情况</t>
        </is>
      </c>
      <c r="C50" s="4" t="inlineStr">
        <is>
          <t>门店类型</t>
        </is>
      </c>
      <c r="D50" s="5" t="n"/>
      <c r="E50" s="4" t="inlineStr">
        <is>
          <t>食杂店、私营小超市、连锁便利店、商超（如永辉）</t>
        </is>
      </c>
      <c r="F50" s="19" t="n"/>
    </row>
    <row r="51" ht="14.5" customHeight="1">
      <c r="B51" s="18" t="inlineStr">
        <is>
          <t>基本情况</t>
        </is>
      </c>
      <c r="C51" s="4" t="inlineStr">
        <is>
          <t>门店位置/商圈</t>
        </is>
      </c>
      <c r="D51" s="5" t="n"/>
      <c r="E51" s="4" t="inlineStr">
        <is>
          <t>文字</t>
        </is>
      </c>
      <c r="F51" s="19" t="inlineStr">
        <is>
          <t>如：小区门口、学校旁、工厂旁</t>
        </is>
      </c>
    </row>
    <row r="52" ht="14.5" customHeight="1">
      <c r="B52" s="18" t="inlineStr">
        <is>
          <t>基本情况</t>
        </is>
      </c>
      <c r="C52" s="4" t="inlineStr">
        <is>
          <t>门店面积</t>
        </is>
      </c>
      <c r="D52" s="5" t="n"/>
      <c r="E52" s="4" t="inlineStr">
        <is>
          <t>平方米</t>
        </is>
      </c>
      <c r="F52" s="19" t="inlineStr">
        <is>
          <t>大概即可</t>
        </is>
      </c>
    </row>
    <row r="53" ht="14.5" customHeight="1">
      <c r="B53" s="18" t="inlineStr">
        <is>
          <t>基本情况</t>
        </is>
      </c>
      <c r="C53" s="4" t="inlineStr">
        <is>
          <t>柜台数</t>
        </is>
      </c>
      <c r="D53" s="5" t="n"/>
      <c r="E53" s="4" t="inlineStr">
        <is>
          <t>个</t>
        </is>
      </c>
      <c r="F53" s="19" t="inlineStr">
        <is>
          <t>如：1</t>
        </is>
      </c>
    </row>
    <row r="54" ht="14.5" customHeight="1">
      <c r="B54" s="18" t="inlineStr">
        <is>
          <t>基本情况</t>
        </is>
      </c>
      <c r="C54" s="4" t="inlineStr">
        <is>
          <t>门店销售品类</t>
        </is>
      </c>
      <c r="D54" s="5" t="n"/>
      <c r="E54" s="4" t="inlineStr">
        <is>
          <t>文字</t>
        </is>
      </c>
      <c r="F54" s="19" t="n"/>
    </row>
    <row r="55" ht="14.5" customHeight="1">
      <c r="B55" s="18" t="inlineStr">
        <is>
          <t>基本情况</t>
        </is>
      </c>
      <c r="C55" s="4" t="inlineStr">
        <is>
          <t>包场品类</t>
        </is>
      </c>
      <c r="D55" s="5" t="n"/>
      <c r="E55" s="4" t="inlineStr">
        <is>
          <t>文字</t>
        </is>
      </c>
      <c r="F55" s="19" t="n"/>
    </row>
    <row r="56" ht="14.5" customHeight="1">
      <c r="B56" s="14" t="n"/>
      <c r="C56" s="10" t="n"/>
      <c r="D56" s="10" t="n"/>
      <c r="E56" s="10" t="n"/>
      <c r="F56" s="15" t="n"/>
    </row>
    <row r="57" ht="14.5" customHeight="1">
      <c r="B57" s="67" t="inlineStr">
        <is>
          <t>二、包场区域，负责品类下，销售哪些品牌</t>
        </is>
      </c>
      <c r="F57" s="80" t="n"/>
    </row>
    <row r="58" ht="14.5" customHeight="1">
      <c r="B58" s="67" t="inlineStr">
        <is>
          <t>二、店铺销售以下哪些品牌</t>
        </is>
      </c>
      <c r="F58" s="80" t="n"/>
    </row>
    <row r="59" ht="14.5" customHeight="1">
      <c r="B59" s="25" t="inlineStr">
        <is>
          <t>品类</t>
        </is>
      </c>
      <c r="C59" s="27" t="inlineStr">
        <is>
          <t>所有进场品牌</t>
        </is>
      </c>
      <c r="D59" s="27" t="n"/>
      <c r="E59" s="27" t="inlineStr">
        <is>
          <t>货柜/冰柜/堆头照片</t>
        </is>
      </c>
      <c r="F59" s="68" t="n"/>
    </row>
    <row r="60" ht="50.5" customHeight="1">
      <c r="B60" s="20" t="inlineStr">
        <is>
          <t>软饮</t>
        </is>
      </c>
      <c r="C60" s="77" t="n"/>
      <c r="D60" s="78" t="n"/>
      <c r="E60" s="51" t="n"/>
      <c r="F60" s="26" t="n"/>
    </row>
    <row r="61" ht="33" customHeight="1">
      <c r="B61" s="20" t="inlineStr">
        <is>
          <t>水</t>
        </is>
      </c>
      <c r="C61" s="77" t="n"/>
      <c r="D61" s="78" t="n"/>
      <c r="E61" s="51" t="n"/>
      <c r="F61" s="26" t="n"/>
    </row>
    <row r="62" ht="33" customHeight="1">
      <c r="B62" s="20" t="inlineStr">
        <is>
          <t>能量饮料</t>
        </is>
      </c>
      <c r="C62" s="77" t="n"/>
      <c r="D62" s="78" t="n"/>
      <c r="E62" s="51" t="n"/>
      <c r="F62" s="26" t="n"/>
    </row>
    <row r="63" ht="33" customHeight="1">
      <c r="B63" s="20" t="inlineStr">
        <is>
          <t>方便面</t>
        </is>
      </c>
      <c r="C63" s="77" t="n"/>
      <c r="D63" s="78" t="n"/>
      <c r="E63" s="51" t="n"/>
      <c r="F63" s="26" t="n"/>
    </row>
    <row r="64" ht="33" customHeight="1">
      <c r="B64" s="20" t="inlineStr">
        <is>
          <t>常温奶</t>
        </is>
      </c>
      <c r="C64" s="77" t="n"/>
      <c r="D64" s="78" t="n"/>
      <c r="E64" s="51" t="n"/>
      <c r="F64" s="26" t="n"/>
    </row>
    <row r="65" ht="33" customHeight="1">
      <c r="B65" s="20" t="inlineStr">
        <is>
          <t>牙膏</t>
        </is>
      </c>
      <c r="C65" s="77" t="n"/>
      <c r="D65" s="78" t="n"/>
      <c r="E65" s="51" t="n"/>
      <c r="F65" s="26" t="n"/>
    </row>
    <row r="66" ht="33" customHeight="1" thickBot="1">
      <c r="B66" s="69" t="inlineStr">
        <is>
          <t>洗发沐浴</t>
        </is>
      </c>
      <c r="C66" s="81" t="n"/>
      <c r="D66" s="82" t="n"/>
      <c r="E66" s="72" t="n"/>
      <c r="F66" s="73" t="n"/>
    </row>
  </sheetData>
  <mergeCells count="28">
    <mergeCell ref="C62:D62"/>
    <mergeCell ref="C15:D15"/>
    <mergeCell ref="B25:F25"/>
    <mergeCell ref="C42:D42"/>
    <mergeCell ref="B46:F46"/>
    <mergeCell ref="C64:D64"/>
    <mergeCell ref="B58:F58"/>
    <mergeCell ref="C20:D20"/>
    <mergeCell ref="C16:D16"/>
    <mergeCell ref="B2:F2"/>
    <mergeCell ref="C65:D65"/>
    <mergeCell ref="C63:D63"/>
    <mergeCell ref="C41:D41"/>
    <mergeCell ref="C40:D40"/>
    <mergeCell ref="B13:F13"/>
    <mergeCell ref="B57:F57"/>
    <mergeCell ref="C43:D43"/>
    <mergeCell ref="C21:D21"/>
    <mergeCell ref="C60:D60"/>
    <mergeCell ref="C61:D61"/>
    <mergeCell ref="C17:D17"/>
    <mergeCell ref="C39:D39"/>
    <mergeCell ref="C38:D38"/>
    <mergeCell ref="C19:D19"/>
    <mergeCell ref="C37:D37"/>
    <mergeCell ref="C66:D66"/>
    <mergeCell ref="C18:D18"/>
    <mergeCell ref="B35:F35"/>
  </mergeCells>
  <dataValidations count="1">
    <dataValidation sqref="D11:D12 D22:D23 D34 D45 D56" showDropDown="0" showInputMessage="0" showErrorMessage="0" allowBlank="0" type="list">
      <formula1>"是,否"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zoomScale="85" zoomScaleNormal="85" workbookViewId="0">
      <selection activeCell="B1" sqref="B1"/>
    </sheetView>
  </sheetViews>
  <sheetFormatPr baseColWidth="8" defaultColWidth="8.58203125" defaultRowHeight="14"/>
  <cols>
    <col width="3.25" customWidth="1" style="2" min="1" max="1"/>
    <col width="19.75" customWidth="1" style="2" min="2" max="2"/>
    <col width="25.08203125" customWidth="1" style="2" min="3" max="3"/>
    <col width="14" customWidth="1" style="2" min="4" max="5"/>
    <col width="19.6640625" customWidth="1" style="2" min="6" max="7"/>
    <col width="25.75" customWidth="1" style="2" min="8" max="8"/>
    <col width="10.58203125" customWidth="1" style="2" min="9" max="12"/>
    <col width="8.58203125" customWidth="1" style="2" min="13" max="16384"/>
  </cols>
  <sheetData>
    <row r="1" ht="14.5" customHeight="1" thickBot="1"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</row>
    <row r="2" ht="14.5" customHeight="1">
      <c r="A2" s="12" t="n"/>
      <c r="B2" s="66" t="inlineStr">
        <is>
          <t>贵店2026年1-6月收支访谈表（只需要填黄色格子）</t>
        </is>
      </c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79" t="n"/>
      <c r="M2" s="12" t="n"/>
    </row>
    <row r="3" ht="14.5" customHeight="1">
      <c r="A3" s="12" t="n"/>
      <c r="B3" s="83" t="inlineStr">
        <is>
          <t>填写说明：黄色格子手填，灰色格子自动算。</t>
        </is>
      </c>
      <c r="L3" s="80" t="n"/>
      <c r="M3" s="12" t="n"/>
    </row>
    <row r="4" ht="14.5" customHeight="1">
      <c r="A4" s="12" t="n"/>
      <c r="B4" s="14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30" t="n"/>
      <c r="M4" s="12" t="n"/>
    </row>
    <row r="5" ht="14.5" customHeight="1">
      <c r="A5" s="12" t="n"/>
      <c r="B5" s="16" t="inlineStr">
        <is>
          <t>一、全店表现</t>
        </is>
      </c>
      <c r="C5" s="3" t="inlineStr">
        <is>
          <t>项目</t>
        </is>
      </c>
      <c r="D5" s="3" t="inlineStr">
        <is>
          <t>请填写</t>
        </is>
      </c>
      <c r="E5" s="3" t="inlineStr">
        <is>
          <t>单位</t>
        </is>
      </c>
      <c r="F5" s="3" t="inlineStr">
        <is>
          <t>提示例子</t>
        </is>
      </c>
      <c r="G5" s="3" t="n"/>
      <c r="H5" s="3" t="n"/>
      <c r="I5" s="3" t="n"/>
      <c r="J5" s="3" t="n"/>
      <c r="K5" s="3" t="n"/>
      <c r="L5" s="17" t="n"/>
      <c r="M5" s="12" t="n"/>
    </row>
    <row r="6" ht="29" customHeight="1">
      <c r="A6" s="12" t="n"/>
      <c r="B6" s="18" t="inlineStr">
        <is>
          <t>收入</t>
        </is>
      </c>
      <c r="C6" s="4" t="inlineStr">
        <is>
          <t>卖货收入</t>
        </is>
      </c>
      <c r="D6" s="84" t="n"/>
      <c r="E6" s="4" t="inlineStr">
        <is>
          <t>元</t>
        </is>
      </c>
      <c r="F6" s="4" t="inlineStr">
        <is>
          <t>填POS/微信/支付宝流水</t>
        </is>
      </c>
      <c r="G6" s="4" t="n"/>
      <c r="H6" s="4" t="n"/>
      <c r="I6" s="4" t="n"/>
      <c r="J6" s="4" t="n"/>
      <c r="K6" s="4" t="n"/>
      <c r="L6" s="31" t="n"/>
      <c r="M6" s="12" t="n"/>
    </row>
    <row r="7" ht="14.5" customHeight="1">
      <c r="A7" s="12" t="n"/>
      <c r="B7" s="18" t="inlineStr">
        <is>
          <t>收入</t>
        </is>
      </c>
      <c r="C7" s="4" t="inlineStr">
        <is>
          <t>经销商/厂家给的返点/补贴/费用</t>
        </is>
      </c>
      <c r="D7" s="84" t="n"/>
      <c r="E7" s="4" t="inlineStr">
        <is>
          <t>元</t>
        </is>
      </c>
      <c r="F7" s="6" t="n"/>
      <c r="G7" s="4" t="n"/>
      <c r="H7" s="6" t="n"/>
      <c r="I7" s="4" t="n"/>
      <c r="J7" s="4" t="n"/>
      <c r="K7" s="85" t="n"/>
      <c r="L7" s="31" t="n"/>
      <c r="M7" s="12" t="n"/>
    </row>
    <row r="8" ht="14.5" customHeight="1">
      <c r="A8" s="12" t="n"/>
      <c r="B8" s="18" t="inlineStr">
        <is>
          <t>货物成本</t>
        </is>
      </c>
      <c r="C8" s="4" t="inlineStr">
        <is>
          <t>进货成本</t>
        </is>
      </c>
      <c r="D8" s="84" t="n"/>
      <c r="E8" s="4" t="inlineStr">
        <is>
          <t>元</t>
        </is>
      </c>
      <c r="F8" s="6" t="n"/>
      <c r="G8" s="4" t="n"/>
      <c r="H8" s="6" t="n"/>
      <c r="I8" s="4" t="n"/>
      <c r="J8" s="4" t="n"/>
      <c r="K8" s="85" t="n"/>
      <c r="L8" s="31" t="n"/>
      <c r="M8" s="12" t="n"/>
    </row>
    <row r="9" ht="14.5" customHeight="1">
      <c r="A9" s="12" t="n"/>
      <c r="B9" s="18" t="n"/>
      <c r="C9" s="29" t="inlineStr">
        <is>
          <t>毛利润</t>
        </is>
      </c>
      <c r="D9" s="86">
        <f>D6+D7-D8</f>
        <v/>
      </c>
      <c r="E9" s="6" t="n"/>
      <c r="F9" s="6" t="n"/>
      <c r="G9" s="6" t="n"/>
      <c r="H9" s="6" t="n"/>
      <c r="I9" s="4" t="n"/>
      <c r="J9" s="4" t="n"/>
      <c r="K9" s="85" t="n"/>
      <c r="L9" s="31" t="n"/>
      <c r="M9" s="12" t="n"/>
    </row>
    <row r="10" ht="14.5" customHeight="1">
      <c r="A10" s="12" t="n"/>
      <c r="B10" s="18" t="inlineStr">
        <is>
          <t>费用</t>
        </is>
      </c>
      <c r="C10" s="4" t="inlineStr">
        <is>
          <t>员工工资</t>
        </is>
      </c>
      <c r="D10" s="84" t="n"/>
      <c r="E10" s="4" t="inlineStr">
        <is>
          <t>元</t>
        </is>
      </c>
      <c r="F10" s="4" t="inlineStr">
        <is>
          <t>没有员工填0</t>
        </is>
      </c>
      <c r="G10" s="4" t="n"/>
      <c r="H10" s="4" t="n"/>
      <c r="I10" s="4" t="n"/>
      <c r="J10" s="4" t="n"/>
      <c r="K10" s="4" t="n"/>
      <c r="L10" s="31" t="n"/>
      <c r="M10" s="12" t="n"/>
    </row>
    <row r="11" ht="29" customHeight="1">
      <c r="A11" s="12" t="n"/>
      <c r="B11" s="18" t="inlineStr">
        <is>
          <t>费用</t>
        </is>
      </c>
      <c r="C11" s="4" t="inlineStr">
        <is>
          <t>房租/水电/物业</t>
        </is>
      </c>
      <c r="D11" s="84" t="n"/>
      <c r="E11" s="4" t="inlineStr">
        <is>
          <t>元</t>
        </is>
      </c>
      <c r="F11" s="4" t="inlineStr">
        <is>
          <t>自有店铺也可填附近租金</t>
        </is>
      </c>
      <c r="G11" s="4" t="n"/>
      <c r="H11" s="4" t="n"/>
      <c r="I11" s="4" t="n"/>
      <c r="J11" s="4" t="n"/>
      <c r="K11" s="4" t="n"/>
      <c r="L11" s="31" t="n"/>
      <c r="M11" s="12" t="n"/>
    </row>
    <row r="12" ht="29" customHeight="1">
      <c r="A12" s="12" t="n"/>
      <c r="B12" s="49" t="inlineStr">
        <is>
          <t>费用</t>
        </is>
      </c>
      <c r="C12" s="13" t="inlineStr">
        <is>
          <t>损耗/过期/丢货</t>
        </is>
      </c>
      <c r="D12" s="87" t="n"/>
      <c r="E12" s="13" t="inlineStr">
        <is>
          <t>元</t>
        </is>
      </c>
      <c r="F12" s="13" t="inlineStr">
        <is>
          <t>临期、破损、被偷等</t>
        </is>
      </c>
      <c r="G12" s="13" t="n"/>
      <c r="H12" s="13" t="n"/>
      <c r="I12" s="13" t="n"/>
      <c r="J12" s="13" t="n"/>
      <c r="K12" s="13" t="n"/>
      <c r="L12" s="50" t="n"/>
      <c r="M12" s="12" t="n"/>
    </row>
    <row r="13" ht="14.5" customHeight="1">
      <c r="A13" s="12" t="n"/>
      <c r="B13" s="43" t="inlineStr">
        <is>
          <t>费用</t>
        </is>
      </c>
      <c r="C13" s="38" t="inlineStr">
        <is>
          <t>其他杂费</t>
        </is>
      </c>
      <c r="D13" s="88" t="n"/>
      <c r="E13" s="38" t="inlineStr">
        <is>
          <t>元</t>
        </is>
      </c>
      <c r="F13" s="38" t="inlineStr">
        <is>
          <t>没有填0</t>
        </is>
      </c>
      <c r="G13" s="38" t="n"/>
      <c r="H13" s="38" t="n"/>
      <c r="I13" s="38" t="n"/>
      <c r="J13" s="38" t="n"/>
      <c r="K13" s="38" t="n"/>
      <c r="L13" s="44" t="n"/>
      <c r="M13" s="12" t="n"/>
    </row>
    <row r="14" ht="14.5" customHeight="1">
      <c r="A14" s="12" t="n"/>
      <c r="B14" s="43" t="inlineStr">
        <is>
          <t>费用</t>
        </is>
      </c>
      <c r="C14" s="38" t="inlineStr">
        <is>
          <t>费用合计</t>
        </is>
      </c>
      <c r="D14" s="89">
        <f>SUM(D10:D14)</f>
        <v/>
      </c>
      <c r="E14" s="38" t="n"/>
      <c r="F14" s="38" t="n"/>
      <c r="G14" s="38" t="n"/>
      <c r="H14" s="38" t="n"/>
      <c r="I14" s="38" t="n"/>
      <c r="J14" s="38" t="n"/>
      <c r="K14" s="38" t="n"/>
      <c r="L14" s="44" t="n"/>
      <c r="M14" s="12" t="n"/>
    </row>
    <row r="15" ht="14.5" customHeight="1">
      <c r="A15" s="12" t="n"/>
      <c r="B15" s="43" t="n"/>
      <c r="C15" s="41" t="inlineStr">
        <is>
          <t>总净利润</t>
        </is>
      </c>
      <c r="D15" s="89">
        <f>D9-D14</f>
        <v/>
      </c>
      <c r="E15" s="38" t="n"/>
      <c r="F15" s="38" t="n"/>
      <c r="G15" s="38" t="n"/>
      <c r="H15" s="38" t="n"/>
      <c r="I15" s="38" t="n"/>
      <c r="J15" s="38" t="n"/>
      <c r="K15" s="38" t="n"/>
      <c r="L15" s="44" t="n"/>
      <c r="M15" s="12" t="n"/>
    </row>
    <row r="16" ht="14.5" customHeight="1">
      <c r="A16" s="12" t="n"/>
      <c r="B16" s="43" t="n"/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44" t="n"/>
      <c r="M16" s="12" t="n"/>
    </row>
    <row r="17" ht="47" customFormat="1" customHeight="1" s="11">
      <c r="A17" s="42" t="n"/>
      <c r="B17" s="35" t="inlineStr">
        <is>
          <t>二、各品类表现</t>
        </is>
      </c>
      <c r="C17" s="36" t="inlineStr">
        <is>
          <t>品类</t>
        </is>
      </c>
      <c r="D17" s="36" t="inlineStr">
        <is>
          <t>销售额</t>
        </is>
      </c>
      <c r="E17" s="36" t="inlineStr">
        <is>
          <t>进货成本</t>
        </is>
      </c>
      <c r="F17" s="36" t="inlineStr">
        <is>
          <t>进店品牌数量</t>
        </is>
      </c>
      <c r="G17" s="36" t="inlineStr">
        <is>
          <t>进店品规数量
（如农夫山泉500ml和1.5l算2个品规）</t>
        </is>
      </c>
      <c r="H17" s="36" t="inlineStr">
        <is>
          <t>销量最大的3个品牌</t>
        </is>
      </c>
      <c r="I17" s="36" t="inlineStr">
        <is>
          <t>返点</t>
        </is>
      </c>
      <c r="J17" s="36" t="inlineStr">
        <is>
          <t>费用
(如陈列费、促销、活动)</t>
        </is>
      </c>
      <c r="K17" s="36" t="inlineStr">
        <is>
          <t>其他资源
(如冰柜、进场费)</t>
        </is>
      </c>
      <c r="L17" s="37" t="inlineStr">
        <is>
          <t>进货渠道</t>
        </is>
      </c>
      <c r="M17" s="42" t="n"/>
    </row>
    <row r="18" ht="14.5" customHeight="1">
      <c r="A18" s="12" t="n"/>
      <c r="B18" s="4" t="inlineStr">
        <is>
          <t>品类销售</t>
        </is>
      </c>
      <c r="C18" s="4" t="inlineStr">
        <is>
          <t>瓶装水</t>
        </is>
      </c>
      <c r="D18" s="84" t="n"/>
      <c r="E18" s="84" t="n"/>
      <c r="F18" s="84" t="n"/>
      <c r="G18" s="84" t="n"/>
      <c r="H18" s="84" t="n"/>
      <c r="I18" s="84" t="n"/>
      <c r="J18" s="84" t="n"/>
      <c r="K18" s="84" t="n"/>
      <c r="L18" s="84" t="n"/>
      <c r="M18" s="12" t="n"/>
    </row>
    <row r="19" ht="14.5" customHeight="1">
      <c r="A19" s="12" t="n"/>
      <c r="B19" s="18" t="inlineStr">
        <is>
          <t>品类销售</t>
        </is>
      </c>
      <c r="C19" s="4" t="inlineStr">
        <is>
          <t>软饮（碳酸/果汁/茶饮）</t>
        </is>
      </c>
      <c r="D19" s="84" t="n"/>
      <c r="E19" s="84" t="n"/>
      <c r="F19" s="84" t="n"/>
      <c r="G19" s="84" t="n"/>
      <c r="H19" s="84" t="n"/>
      <c r="I19" s="84" t="n"/>
      <c r="J19" s="84" t="n"/>
      <c r="K19" s="84" t="n"/>
      <c r="L19" s="90" t="n"/>
      <c r="M19" s="12" t="n"/>
    </row>
    <row r="20" ht="14.5" customHeight="1">
      <c r="A20" s="12" t="n"/>
      <c r="B20" s="18" t="inlineStr">
        <is>
          <t>品类销售</t>
        </is>
      </c>
      <c r="C20" s="4" t="inlineStr">
        <is>
          <t>功能饮料</t>
        </is>
      </c>
      <c r="D20" s="84" t="n"/>
      <c r="E20" s="84" t="n"/>
      <c r="F20" s="84" t="n"/>
      <c r="G20" s="84" t="n"/>
      <c r="H20" s="84" t="n"/>
      <c r="I20" s="84" t="n"/>
      <c r="J20" s="84" t="n"/>
      <c r="K20" s="84" t="n"/>
      <c r="L20" s="90" t="n"/>
      <c r="M20" s="12" t="n"/>
    </row>
    <row r="21" ht="14.5" customHeight="1">
      <c r="A21" s="12" t="n"/>
      <c r="B21" s="18" t="inlineStr">
        <is>
          <t>品类销售</t>
        </is>
      </c>
      <c r="C21" s="4" t="inlineStr">
        <is>
          <t>乳品（常温奶）</t>
        </is>
      </c>
      <c r="D21" s="84" t="n"/>
      <c r="E21" s="84" t="n"/>
      <c r="F21" s="84" t="n"/>
      <c r="G21" s="84" t="n"/>
      <c r="H21" s="84" t="n"/>
      <c r="I21" s="84" t="n"/>
      <c r="J21" s="84" t="n"/>
      <c r="K21" s="84" t="n"/>
      <c r="L21" s="90" t="n"/>
      <c r="M21" s="12" t="n"/>
    </row>
    <row r="22" ht="14.5" customHeight="1">
      <c r="A22" s="12" t="n"/>
      <c r="B22" s="18" t="inlineStr">
        <is>
          <t>品类销售</t>
        </is>
      </c>
      <c r="C22" s="4" t="inlineStr">
        <is>
          <t>零食</t>
        </is>
      </c>
      <c r="D22" s="84" t="n"/>
      <c r="E22" s="84" t="n"/>
      <c r="F22" s="84" t="n"/>
      <c r="G22" s="84" t="n"/>
      <c r="H22" s="84" t="n"/>
      <c r="I22" s="84" t="n"/>
      <c r="J22" s="84" t="n"/>
      <c r="K22" s="84" t="n"/>
      <c r="L22" s="90" t="n"/>
      <c r="M22" s="12" t="n"/>
    </row>
    <row r="23" ht="14.5" customHeight="1">
      <c r="A23" s="12" t="n"/>
      <c r="B23" s="18" t="inlineStr">
        <is>
          <t>品类销售</t>
        </is>
      </c>
      <c r="C23" s="4" t="inlineStr">
        <is>
          <t>泡面</t>
        </is>
      </c>
      <c r="D23" s="84" t="n"/>
      <c r="E23" s="84" t="n"/>
      <c r="F23" s="84" t="n"/>
      <c r="G23" s="84" t="n"/>
      <c r="H23" s="84" t="n"/>
      <c r="I23" s="84" t="n"/>
      <c r="J23" s="84" t="n"/>
      <c r="K23" s="84" t="n"/>
      <c r="L23" s="90" t="n"/>
      <c r="M23" s="12" t="n"/>
    </row>
    <row r="24" ht="14.5" customHeight="1">
      <c r="A24" s="12" t="n"/>
      <c r="B24" s="18" t="inlineStr">
        <is>
          <t>品类销售</t>
        </is>
      </c>
      <c r="C24" s="4" t="inlineStr">
        <is>
          <t>粮油调味</t>
        </is>
      </c>
      <c r="D24" s="84" t="n"/>
      <c r="E24" s="84" t="n"/>
      <c r="F24" s="84" t="n"/>
      <c r="G24" s="84" t="n"/>
      <c r="H24" s="84" t="n"/>
      <c r="I24" s="84" t="n"/>
      <c r="J24" s="84" t="n"/>
      <c r="K24" s="84" t="n"/>
      <c r="L24" s="90" t="n"/>
      <c r="M24" s="12" t="n"/>
    </row>
    <row r="25" ht="14.5" customHeight="1">
      <c r="A25" s="12" t="n"/>
      <c r="B25" s="18" t="inlineStr">
        <is>
          <t>品类销售</t>
        </is>
      </c>
      <c r="C25" s="4" t="inlineStr">
        <is>
          <t>日化纸品</t>
        </is>
      </c>
      <c r="D25" s="84" t="n"/>
      <c r="E25" s="84" t="n"/>
      <c r="F25" s="84" t="n"/>
      <c r="G25" s="84" t="n"/>
      <c r="H25" s="84" t="n"/>
      <c r="I25" s="84" t="n"/>
      <c r="J25" s="84" t="n"/>
      <c r="K25" s="84" t="n"/>
      <c r="L25" s="90" t="n"/>
      <c r="M25" s="12" t="n"/>
    </row>
    <row r="26" ht="14.5" customHeight="1">
      <c r="A26" s="12" t="n"/>
      <c r="B26" s="18" t="inlineStr">
        <is>
          <t>品类销售</t>
        </is>
      </c>
      <c r="C26" s="4" t="inlineStr">
        <is>
          <t>牙膏</t>
        </is>
      </c>
      <c r="D26" s="84" t="n"/>
      <c r="E26" s="84" t="n"/>
      <c r="F26" s="84" t="n"/>
      <c r="G26" s="84" t="n"/>
      <c r="H26" s="84" t="n"/>
      <c r="I26" s="84" t="n"/>
      <c r="J26" s="84" t="n"/>
      <c r="K26" s="84" t="n"/>
      <c r="L26" s="90" t="n"/>
      <c r="M26" s="12" t="n"/>
    </row>
    <row r="27" ht="14.5" customHeight="1">
      <c r="A27" s="12" t="n"/>
      <c r="B27" s="18" t="inlineStr">
        <is>
          <t>品类销售</t>
        </is>
      </c>
      <c r="C27" s="4" t="inlineStr">
        <is>
          <t>沐浴/洗发</t>
        </is>
      </c>
      <c r="D27" s="84" t="n"/>
      <c r="E27" s="84" t="n"/>
      <c r="F27" s="84" t="n"/>
      <c r="G27" s="84" t="n"/>
      <c r="H27" s="84" t="n"/>
      <c r="I27" s="84" t="n"/>
      <c r="J27" s="84" t="n"/>
      <c r="K27" s="84" t="n"/>
      <c r="L27" s="90" t="n"/>
      <c r="M27" s="12" t="n"/>
    </row>
    <row r="28" ht="14.5" customHeight="1">
      <c r="A28" s="12" t="n"/>
      <c r="B28" s="18" t="inlineStr">
        <is>
          <t>品类销售</t>
        </is>
      </c>
      <c r="C28" s="4" t="inlineStr">
        <is>
          <t>香烟</t>
        </is>
      </c>
      <c r="D28" s="84" t="n"/>
      <c r="E28" s="84" t="n"/>
      <c r="F28" s="84" t="n"/>
      <c r="G28" s="84" t="n"/>
      <c r="H28" s="84" t="n"/>
      <c r="I28" s="84" t="n"/>
      <c r="J28" s="84" t="n"/>
      <c r="K28" s="84" t="n"/>
      <c r="L28" s="90" t="n"/>
      <c r="M28" s="12" t="n"/>
    </row>
    <row r="29" ht="14.5" customHeight="1">
      <c r="A29" s="12" t="n"/>
      <c r="B29" s="18" t="inlineStr">
        <is>
          <t>品类销售</t>
        </is>
      </c>
      <c r="C29" s="4" t="inlineStr">
        <is>
          <t>啤酒/酒水</t>
        </is>
      </c>
      <c r="D29" s="84" t="n"/>
      <c r="E29" s="84" t="n"/>
      <c r="F29" s="84" t="n"/>
      <c r="G29" s="84" t="n"/>
      <c r="H29" s="84" t="n"/>
      <c r="I29" s="84" t="n"/>
      <c r="J29" s="84" t="n"/>
      <c r="K29" s="84" t="n"/>
      <c r="L29" s="90" t="n"/>
      <c r="M29" s="12" t="n"/>
    </row>
    <row r="30" ht="14.5" customHeight="1">
      <c r="A30" s="12" t="n"/>
      <c r="B30" s="18" t="inlineStr">
        <is>
          <t>品类销售</t>
        </is>
      </c>
      <c r="C30" s="4" t="inlineStr">
        <is>
          <t>水果/生鲜</t>
        </is>
      </c>
      <c r="D30" s="84" t="n"/>
      <c r="E30" s="84" t="n"/>
      <c r="F30" s="84" t="n"/>
      <c r="G30" s="84" t="n"/>
      <c r="H30" s="84" t="n"/>
      <c r="I30" s="84" t="n"/>
      <c r="J30" s="84" t="n"/>
      <c r="K30" s="84" t="n"/>
      <c r="L30" s="90" t="n"/>
      <c r="M30" s="12" t="n"/>
    </row>
    <row r="31" ht="15" customHeight="1" thickBot="1">
      <c r="A31" s="12" t="n"/>
      <c r="B31" s="32" t="inlineStr">
        <is>
          <t>品类销售</t>
        </is>
      </c>
      <c r="C31" s="33" t="inlineStr">
        <is>
          <t>其他</t>
        </is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2" t="n"/>
      <c r="M31" s="12" t="n"/>
    </row>
    <row r="32" ht="14.5" customHeight="1">
      <c r="B32" s="10" t="n"/>
      <c r="C32" s="10" t="n"/>
      <c r="D32" s="10">
        <f>D6=SUM(D18:D31)</f>
        <v/>
      </c>
      <c r="E32" s="10">
        <f>D8=SUM(E18:E31)</f>
        <v/>
      </c>
      <c r="F32" s="10" t="n"/>
      <c r="G32" s="10" t="n"/>
      <c r="H32" s="10" t="n"/>
      <c r="I32" s="10" t="n"/>
      <c r="J32" s="10" t="n"/>
      <c r="K32" s="10" t="n"/>
      <c r="L32" s="12" t="n"/>
    </row>
    <row r="33" ht="31" customHeight="1">
      <c r="B33" s="1" t="n"/>
      <c r="C33" s="1" t="n"/>
      <c r="D33" s="74">
        <f>IF(D32=TRUE,"","销售额填写有误，请核对修改")</f>
        <v/>
      </c>
      <c r="E33" s="74">
        <f>IF(E32=TRUE,"","进货成本填写有误，请核对修改")</f>
        <v/>
      </c>
      <c r="F33" s="74" t="n"/>
      <c r="G33" s="74" t="n"/>
      <c r="H33" s="1" t="n"/>
      <c r="I33" s="1" t="n"/>
      <c r="J33" s="1" t="n"/>
      <c r="K33" s="1" t="n"/>
    </row>
    <row r="34" ht="14.5" customHeight="1"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 ht="14.5" customHeight="1"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 ht="14.5" customHeight="1">
      <c r="D36" s="1" t="n"/>
    </row>
  </sheetData>
  <mergeCells count="2">
    <mergeCell ref="B2:L2"/>
    <mergeCell ref="B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zoomScale="85" zoomScaleNormal="85" workbookViewId="0">
      <selection activeCell="B1" sqref="B1"/>
    </sheetView>
  </sheetViews>
  <sheetFormatPr baseColWidth="8" defaultColWidth="8.58203125" defaultRowHeight="14"/>
  <cols>
    <col width="3.25" customWidth="1" style="2" min="1" max="1"/>
    <col width="19.75" customWidth="1" style="2" min="2" max="2"/>
    <col width="36.83203125" customWidth="1" style="2" min="3" max="3"/>
    <col width="15.9140625" customWidth="1" style="2" min="4" max="5"/>
    <col width="25.75" customWidth="1" style="2" min="6" max="8"/>
    <col width="10.58203125" customWidth="1" style="2" min="9" max="12"/>
    <col width="8.58203125" customWidth="1" style="2" min="13" max="16384"/>
  </cols>
  <sheetData>
    <row r="1" ht="14.5" customHeight="1" thickBot="1"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</row>
    <row r="2" ht="14.5" customHeight="1">
      <c r="A2" s="12" t="n"/>
      <c r="B2" s="66" t="inlineStr">
        <is>
          <t>贵店2026年1-6月收支访谈表（只需要填黄色格子）</t>
        </is>
      </c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79" t="n"/>
      <c r="M2" s="12" t="n"/>
    </row>
    <row r="3" ht="14.5" customHeight="1">
      <c r="A3" s="12" t="n"/>
      <c r="B3" s="83" t="inlineStr">
        <is>
          <t>填写说明：黄色格子手填，灰色格子自动算/之后访谈时讨论。</t>
        </is>
      </c>
      <c r="L3" s="80" t="n"/>
      <c r="M3" s="12" t="n"/>
    </row>
    <row r="4" ht="14.5" customHeight="1">
      <c r="A4" s="12" t="n"/>
      <c r="B4" s="14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30" t="n"/>
      <c r="M4" s="12" t="n"/>
    </row>
    <row r="5" ht="14.5" customHeight="1">
      <c r="A5" s="12" t="n"/>
      <c r="B5" s="16" t="inlineStr">
        <is>
          <t>一、全店表现</t>
        </is>
      </c>
      <c r="C5" s="3" t="inlineStr">
        <is>
          <t>项目</t>
        </is>
      </c>
      <c r="D5" s="3" t="inlineStr">
        <is>
          <t>请填写</t>
        </is>
      </c>
      <c r="E5" s="3" t="inlineStr">
        <is>
          <t>单位</t>
        </is>
      </c>
      <c r="F5" s="3" t="inlineStr">
        <is>
          <t>提示例子</t>
        </is>
      </c>
      <c r="G5" s="3" t="n"/>
      <c r="H5" s="3" t="n"/>
      <c r="I5" s="3" t="n"/>
      <c r="J5" s="3" t="n"/>
      <c r="K5" s="3" t="n"/>
      <c r="L5" s="17" t="n"/>
      <c r="M5" s="12" t="n"/>
    </row>
    <row r="6" ht="14.5" customHeight="1">
      <c r="A6" s="12" t="n"/>
      <c r="B6" s="18" t="inlineStr">
        <is>
          <t>收入</t>
        </is>
      </c>
      <c r="C6" s="4" t="inlineStr">
        <is>
          <t>餐食收入</t>
        </is>
      </c>
      <c r="D6" s="84" t="n">
        <v>3600000</v>
      </c>
      <c r="E6" s="4" t="inlineStr">
        <is>
          <t>元</t>
        </is>
      </c>
      <c r="F6" s="4" t="n"/>
      <c r="G6" s="4" t="n"/>
      <c r="H6" s="4" t="n"/>
      <c r="I6" s="4" t="n"/>
      <c r="J6" s="4" t="n"/>
      <c r="K6" s="4" t="n"/>
      <c r="L6" s="31" t="n"/>
      <c r="M6" s="12" t="n"/>
    </row>
    <row r="7" ht="14.5" customHeight="1">
      <c r="A7" s="12" t="n"/>
      <c r="B7" s="18" t="inlineStr">
        <is>
          <t>收入</t>
        </is>
      </c>
      <c r="C7" s="4" t="inlineStr">
        <is>
          <t>酒水饮料收入</t>
        </is>
      </c>
      <c r="D7" s="84" t="n">
        <v>400000</v>
      </c>
      <c r="E7" s="4" t="inlineStr">
        <is>
          <t>元</t>
        </is>
      </c>
      <c r="F7" s="4" t="n"/>
      <c r="G7" s="4" t="n"/>
      <c r="H7" s="4" t="n"/>
      <c r="I7" s="4" t="n"/>
      <c r="J7" s="4" t="n"/>
      <c r="K7" s="4" t="n"/>
      <c r="L7" s="31" t="n"/>
      <c r="M7" s="12" t="n"/>
    </row>
    <row r="8" ht="14.5" customHeight="1">
      <c r="A8" s="12" t="n"/>
      <c r="B8" s="18" t="inlineStr">
        <is>
          <t>收入</t>
        </is>
      </c>
      <c r="C8" s="4" t="inlineStr">
        <is>
          <t>经销商/厂家给的食材返点/补贴/费用</t>
        </is>
      </c>
      <c r="D8" s="84" t="n">
        <v>34781</v>
      </c>
      <c r="E8" s="4" t="inlineStr">
        <is>
          <t>元</t>
        </is>
      </c>
      <c r="F8" s="4" t="n"/>
      <c r="G8" s="4" t="n"/>
      <c r="H8" s="4" t="n"/>
      <c r="I8" s="4" t="n"/>
      <c r="J8" s="4" t="n"/>
      <c r="K8" s="4" t="n"/>
      <c r="L8" s="31" t="n"/>
      <c r="M8" s="12" t="n"/>
    </row>
    <row r="9" ht="14.5" customHeight="1">
      <c r="A9" s="12" t="n"/>
      <c r="B9" s="18" t="inlineStr">
        <is>
          <t>收入</t>
        </is>
      </c>
      <c r="C9" s="4" t="inlineStr">
        <is>
          <t>经销商/厂家给的酒水饮料返点/补贴/费用</t>
        </is>
      </c>
      <c r="D9" s="84" t="n">
        <v>10864</v>
      </c>
      <c r="E9" s="4" t="inlineStr">
        <is>
          <t>元</t>
        </is>
      </c>
      <c r="F9" s="6" t="n"/>
      <c r="G9" s="6" t="n"/>
      <c r="H9" s="6" t="n"/>
      <c r="I9" s="4" t="n"/>
      <c r="J9" s="4" t="n"/>
      <c r="K9" s="85" t="n"/>
      <c r="L9" s="31" t="n"/>
      <c r="M9" s="12" t="n"/>
    </row>
    <row r="10" ht="14.5" customHeight="1">
      <c r="A10" s="12" t="n"/>
      <c r="B10" s="18" t="inlineStr">
        <is>
          <t>货物成本</t>
        </is>
      </c>
      <c r="C10" s="4" t="inlineStr">
        <is>
          <t>食材成本</t>
        </is>
      </c>
      <c r="D10" s="84" t="n">
        <v>1159360</v>
      </c>
      <c r="E10" s="4" t="inlineStr">
        <is>
          <t>元</t>
        </is>
      </c>
      <c r="F10" s="6" t="n"/>
      <c r="G10" s="6" t="n"/>
      <c r="H10" s="6" t="n"/>
      <c r="I10" s="4" t="n"/>
      <c r="J10" s="4" t="n"/>
      <c r="K10" s="85" t="n"/>
      <c r="L10" s="31" t="n"/>
      <c r="M10" s="12" t="n"/>
    </row>
    <row r="11" ht="14.5" customHeight="1">
      <c r="A11" s="12" t="n"/>
      <c r="B11" s="18" t="inlineStr">
        <is>
          <t>货物成本</t>
        </is>
      </c>
      <c r="C11" s="4" t="inlineStr">
        <is>
          <t>酒水饮料成本</t>
        </is>
      </c>
      <c r="D11" s="84" t="n">
        <v>108640</v>
      </c>
      <c r="E11" s="4" t="inlineStr">
        <is>
          <t>元</t>
        </is>
      </c>
      <c r="F11" s="6" t="n"/>
      <c r="G11" s="6" t="n"/>
      <c r="H11" s="6" t="n"/>
      <c r="I11" s="4" t="n"/>
      <c r="J11" s="4" t="n"/>
      <c r="K11" s="85" t="n"/>
      <c r="L11" s="31" t="n"/>
      <c r="M11" s="12" t="n"/>
    </row>
    <row r="12" ht="14.5" customHeight="1">
      <c r="A12" s="12" t="n"/>
      <c r="B12" s="18" t="n"/>
      <c r="C12" s="29" t="inlineStr">
        <is>
          <t>毛利润</t>
        </is>
      </c>
      <c r="D12" s="86">
        <f>SUM(D6:D9)-SUM(D10:D11)</f>
        <v/>
      </c>
      <c r="E12" s="6" t="n"/>
      <c r="F12" s="6" t="n"/>
      <c r="G12" s="6" t="n"/>
      <c r="H12" s="6" t="n"/>
      <c r="I12" s="4" t="n"/>
      <c r="J12" s="4" t="n"/>
      <c r="K12" s="85" t="n"/>
      <c r="L12" s="31" t="n"/>
      <c r="M12" s="12" t="n"/>
    </row>
    <row r="13" ht="14.5" customHeight="1">
      <c r="A13" s="12" t="n"/>
      <c r="B13" s="18" t="inlineStr">
        <is>
          <t>费用</t>
        </is>
      </c>
      <c r="C13" s="4" t="inlineStr">
        <is>
          <t>员工工资</t>
        </is>
      </c>
      <c r="D13" s="84" t="n">
        <v>1044000</v>
      </c>
      <c r="E13" s="4" t="inlineStr">
        <is>
          <t>元</t>
        </is>
      </c>
      <c r="F13" s="4" t="inlineStr">
        <is>
          <t>没有员工填0</t>
        </is>
      </c>
      <c r="G13" s="4" t="n"/>
      <c r="H13" s="4" t="n"/>
      <c r="I13" s="4" t="n"/>
      <c r="J13" s="4" t="n"/>
      <c r="K13" s="4" t="n"/>
      <c r="L13" s="31" t="n"/>
      <c r="M13" s="12" t="n"/>
    </row>
    <row r="14" ht="14.5" customHeight="1">
      <c r="A14" s="12" t="n"/>
      <c r="B14" s="18" t="inlineStr">
        <is>
          <t>费用</t>
        </is>
      </c>
      <c r="C14" s="4" t="inlineStr">
        <is>
          <t>房租/水电/物业</t>
        </is>
      </c>
      <c r="D14" s="84" t="n">
        <v>204000</v>
      </c>
      <c r="E14" s="4" t="inlineStr">
        <is>
          <t>元</t>
        </is>
      </c>
      <c r="F14" s="4" t="inlineStr">
        <is>
          <t>自有店铺也可填附近租金</t>
        </is>
      </c>
      <c r="G14" s="4" t="n"/>
      <c r="H14" s="4" t="n"/>
      <c r="I14" s="4" t="n"/>
      <c r="J14" s="4" t="n"/>
      <c r="K14" s="4" t="n"/>
      <c r="L14" s="31" t="n"/>
      <c r="M14" s="12" t="n"/>
    </row>
    <row r="15" ht="14.5" customHeight="1">
      <c r="A15" s="12" t="n"/>
      <c r="B15" s="49" t="inlineStr">
        <is>
          <t>费用</t>
        </is>
      </c>
      <c r="C15" s="13" t="inlineStr">
        <is>
          <t>损耗/过期/丢货</t>
        </is>
      </c>
      <c r="D15" s="87" t="n">
        <v>60000</v>
      </c>
      <c r="E15" s="13" t="inlineStr">
        <is>
          <t>元</t>
        </is>
      </c>
      <c r="F15" s="13" t="inlineStr">
        <is>
          <t>临期、破损、被偷等</t>
        </is>
      </c>
      <c r="G15" s="13" t="n"/>
      <c r="H15" s="13" t="n"/>
      <c r="I15" s="13" t="n"/>
      <c r="J15" s="13" t="n"/>
      <c r="K15" s="13" t="n"/>
      <c r="L15" s="50" t="n"/>
      <c r="M15" s="12" t="n"/>
    </row>
    <row r="16" ht="14.5" customHeight="1">
      <c r="A16" s="12" t="n"/>
      <c r="B16" s="43" t="inlineStr">
        <is>
          <t>费用</t>
        </is>
      </c>
      <c r="C16" s="38" t="inlineStr">
        <is>
          <t>其他杂费</t>
        </is>
      </c>
      <c r="D16" s="88" t="n">
        <v>207200</v>
      </c>
      <c r="E16" s="38" t="inlineStr">
        <is>
          <t>元</t>
        </is>
      </c>
      <c r="F16" s="38" t="inlineStr">
        <is>
          <t>没有填0</t>
        </is>
      </c>
      <c r="G16" s="38" t="n"/>
      <c r="H16" s="38" t="n"/>
      <c r="I16" s="38" t="n"/>
      <c r="J16" s="38" t="n"/>
      <c r="K16" s="38" t="n"/>
      <c r="L16" s="44" t="n"/>
      <c r="M16" s="12" t="n"/>
    </row>
    <row r="17" ht="14.5" customHeight="1">
      <c r="A17" s="12" t="n"/>
      <c r="B17" s="43" t="inlineStr">
        <is>
          <t>费用</t>
        </is>
      </c>
      <c r="C17" s="38" t="inlineStr">
        <is>
          <t>费用合计</t>
        </is>
      </c>
      <c r="D17" s="89">
        <f>SUM(D13:D16)</f>
        <v/>
      </c>
      <c r="E17" s="38" t="n"/>
      <c r="F17" s="38" t="n"/>
      <c r="G17" s="38" t="n"/>
      <c r="H17" s="38" t="n"/>
      <c r="I17" s="38" t="n"/>
      <c r="J17" s="38" t="n"/>
      <c r="K17" s="38" t="n"/>
      <c r="L17" s="44" t="n"/>
      <c r="M17" s="12" t="n"/>
    </row>
    <row r="18" ht="14.5" customHeight="1">
      <c r="A18" s="12" t="n"/>
      <c r="B18" s="43" t="n"/>
      <c r="C18" s="41" t="inlineStr">
        <is>
          <t>总净利润</t>
        </is>
      </c>
      <c r="D18" s="89">
        <f>D12-D17</f>
        <v/>
      </c>
      <c r="E18" s="38" t="n"/>
      <c r="F18" s="38" t="n"/>
      <c r="G18" s="38" t="n"/>
      <c r="H18" s="38" t="n"/>
      <c r="I18" s="38" t="n"/>
      <c r="J18" s="38" t="n"/>
      <c r="K18" s="38" t="n"/>
      <c r="L18" s="44" t="n"/>
      <c r="M18" s="12" t="n"/>
    </row>
    <row r="19" ht="14.5" customHeight="1">
      <c r="A19" s="12" t="n"/>
      <c r="B19" s="43" t="n"/>
      <c r="C19" s="38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44" t="n"/>
      <c r="M19" s="12" t="n"/>
    </row>
    <row r="20" ht="43.5" customFormat="1" customHeight="1" s="11">
      <c r="A20" s="42" t="n"/>
      <c r="B20" s="35" t="inlineStr">
        <is>
          <t>二、各品类表现</t>
        </is>
      </c>
      <c r="C20" s="36" t="inlineStr">
        <is>
          <t>品类</t>
        </is>
      </c>
      <c r="D20" s="36" t="inlineStr">
        <is>
          <t>销售额</t>
        </is>
      </c>
      <c r="E20" s="36" t="inlineStr">
        <is>
          <t>进货成本</t>
        </is>
      </c>
      <c r="F20" s="36" t="inlineStr">
        <is>
          <t>进店品牌数量</t>
        </is>
      </c>
      <c r="G20" s="36" t="inlineStr">
        <is>
          <t>进店品规数量
（如农夫山泉500ml和1.5l算2个品规）</t>
        </is>
      </c>
      <c r="H20" s="36" t="inlineStr">
        <is>
          <t>销量最大的3个品牌</t>
        </is>
      </c>
      <c r="I20" s="36" t="inlineStr">
        <is>
          <t>返点</t>
        </is>
      </c>
      <c r="J20" s="36" t="inlineStr">
        <is>
          <t>费用
(如陈列费、促销、活动)</t>
        </is>
      </c>
      <c r="K20" s="36" t="inlineStr">
        <is>
          <t>其他资源
(如冰柜、进场费)</t>
        </is>
      </c>
      <c r="L20" s="37" t="inlineStr">
        <is>
          <t>进货渠道</t>
        </is>
      </c>
      <c r="M20" s="42" t="n"/>
    </row>
    <row r="21" ht="14.5" customHeight="1">
      <c r="A21" s="12" t="n"/>
      <c r="B21" s="18" t="inlineStr">
        <is>
          <t>品类销售</t>
        </is>
      </c>
      <c r="C21" s="4" t="inlineStr">
        <is>
          <t>瓶装水</t>
        </is>
      </c>
      <c r="D21" s="84" t="n">
        <v>120000</v>
      </c>
      <c r="E21" s="84" t="n">
        <v>24000</v>
      </c>
      <c r="F21" s="84" t="n">
        <v>2</v>
      </c>
      <c r="G21" s="84" t="n">
        <v>3</v>
      </c>
      <c r="H21" s="84" t="inlineStr">
        <is>
          <t>农夫山泉、怡宝</t>
        </is>
      </c>
      <c r="I21" s="84" t="inlineStr">
        <is>
          <t>5%–10%（年框返点）</t>
        </is>
      </c>
      <c r="J21" s="84" t="inlineStr">
        <is>
          <t>陈列费少见，正餐渠道非重点</t>
        </is>
      </c>
      <c r="K21" s="84" t="inlineStr">
        <is>
          <t>冰柜（冷藏展示，视门店配置）</t>
        </is>
      </c>
      <c r="L21" s="90" t="inlineStr">
        <is>
          <t>区域经销商/批发商</t>
        </is>
      </c>
      <c r="M21" s="12" t="n"/>
    </row>
    <row r="22" ht="14.5" customHeight="1">
      <c r="A22" s="12" t="n"/>
      <c r="B22" s="18" t="inlineStr">
        <is>
          <t>品类销售</t>
        </is>
      </c>
      <c r="C22" s="4" t="inlineStr">
        <is>
          <t>软饮（碳酸/果汁/茶饮）</t>
        </is>
      </c>
      <c r="D22" s="84" t="n">
        <v>160000</v>
      </c>
      <c r="E22" s="84" t="n">
        <v>40000</v>
      </c>
      <c r="F22" s="84" t="n">
        <v>3</v>
      </c>
      <c r="G22" s="84" t="n">
        <v>7</v>
      </c>
      <c r="H22" s="84" t="inlineStr">
        <is>
          <t>可口可乐、雪碧、王老吉</t>
        </is>
      </c>
      <c r="I22" s="84" t="inlineStr">
        <is>
          <t>8%–15%（年框返点）</t>
        </is>
      </c>
      <c r="J22" s="84" t="inlineStr">
        <is>
          <t>冰柜陈列费较低，正餐渠道促销活动费不常见</t>
        </is>
      </c>
      <c r="K22" s="84" t="inlineStr">
        <is>
          <t>冰柜</t>
        </is>
      </c>
      <c r="L22" s="90" t="inlineStr">
        <is>
          <t>区域经销商为主，部分单店直采</t>
        </is>
      </c>
      <c r="M22" s="12" t="n"/>
    </row>
    <row r="23" ht="14.5" customHeight="1">
      <c r="A23" s="12" t="n"/>
      <c r="B23" s="18" t="inlineStr">
        <is>
          <t>品类销售</t>
        </is>
      </c>
      <c r="C23" s="4" t="inlineStr">
        <is>
          <t>功能饮料</t>
        </is>
      </c>
      <c r="D23" s="84" t="n">
        <v>20000</v>
      </c>
      <c r="E23" s="84" t="n">
        <v>7000</v>
      </c>
      <c r="F23" s="84" t="n">
        <v>1</v>
      </c>
      <c r="G23" s="84" t="n">
        <v>1</v>
      </c>
      <c r="H23" s="84" t="inlineStr">
        <is>
          <t>红牛（如有配置，非主推品类）</t>
        </is>
      </c>
      <c r="I23" s="84" t="inlineStr">
        <is>
          <t>5%–10%（若配置）</t>
        </is>
      </c>
      <c r="J23" s="84" t="inlineStr">
        <is>
          <t>基本无</t>
        </is>
      </c>
      <c r="K23" s="84" t="inlineStr">
        <is>
          <t>无</t>
        </is>
      </c>
      <c r="L23" s="90" t="inlineStr">
        <is>
          <t>随软饮渠道搭配供货</t>
        </is>
      </c>
      <c r="M23" s="12" t="n"/>
    </row>
    <row r="24" ht="14.5" customHeight="1">
      <c r="A24" s="12" t="n"/>
      <c r="B24" s="18" t="inlineStr">
        <is>
          <t>品类销售</t>
        </is>
      </c>
      <c r="C24" s="4" t="inlineStr">
        <is>
          <t>乳品（常温奶）</t>
        </is>
      </c>
      <c r="D24" s="84" t="n">
        <v>12000</v>
      </c>
      <c r="E24" s="84" t="n">
        <v>4200</v>
      </c>
      <c r="F24" s="84" t="n">
        <v>0</v>
      </c>
      <c r="G24" s="84" t="n">
        <v>0</v>
      </c>
      <c r="H24" s="84" t="inlineStr">
        <is>
          <t>大概率不在架（正餐场景无天然消费需求）</t>
        </is>
      </c>
      <c r="I24" s="84" t="inlineStr">
        <is>
          <t>不适用</t>
        </is>
      </c>
      <c r="J24" s="84" t="inlineStr">
        <is>
          <t>不适用</t>
        </is>
      </c>
      <c r="K24" s="84" t="inlineStr">
        <is>
          <t>不适用</t>
        </is>
      </c>
      <c r="L24" s="90" t="inlineStr">
        <is>
          <t>不适用</t>
        </is>
      </c>
      <c r="M24" s="12" t="n"/>
    </row>
    <row r="25" ht="15" customHeight="1" thickBot="1">
      <c r="A25" s="12" t="n"/>
      <c r="B25" s="32" t="inlineStr">
        <is>
          <t>品类销售</t>
        </is>
      </c>
      <c r="C25" s="33" t="inlineStr">
        <is>
          <t>啤酒</t>
        </is>
      </c>
      <c r="D25" s="91" t="n">
        <v>88000</v>
      </c>
      <c r="E25" s="91" t="n">
        <v>33440</v>
      </c>
      <c r="F25" s="91" t="n">
        <v>3</v>
      </c>
      <c r="G25" s="91" t="n">
        <v>4</v>
      </c>
      <c r="H25" s="91" t="inlineStr">
        <is>
          <t>青岛啤酒、百威、区域品牌（因地而异）</t>
        </is>
      </c>
      <c r="I25" s="91" t="inlineStr">
        <is>
          <t>10%–20%（年框返点，餐饮渠道啤酒返点通常高于软饮）</t>
        </is>
      </c>
      <c r="J25" s="91" t="inlineStr">
        <is>
          <t>促销活动费/买赠资源投入较常见</t>
        </is>
      </c>
      <c r="K25" s="91" t="inlineStr">
        <is>
          <t>冰柜、桶装设备</t>
        </is>
      </c>
      <c r="L25" s="92" t="inlineStr">
        <is>
          <t>啤酒厂商区域经销商，可能有驻店促销资源置换</t>
        </is>
      </c>
      <c r="M25" s="12" t="n"/>
    </row>
    <row r="26" ht="14.5" customHeight="1">
      <c r="B26" s="10" t="n"/>
      <c r="C26" s="10" t="n"/>
      <c r="D26" s="10">
        <f>D7=SUM(D21:D25)</f>
        <v/>
      </c>
      <c r="E26" s="10">
        <f>D11=SUM(E21:E25)</f>
        <v/>
      </c>
      <c r="F26" s="10" t="n"/>
      <c r="G26" s="10" t="n"/>
      <c r="H26" s="10" t="n"/>
      <c r="I26" s="10" t="n"/>
      <c r="J26" s="10" t="n"/>
      <c r="K26" s="10" t="n"/>
      <c r="L26" s="12" t="n"/>
    </row>
    <row r="27" ht="39.5" customHeight="1">
      <c r="B27" s="1" t="n"/>
      <c r="C27" s="1" t="n"/>
      <c r="D27" s="74">
        <f>IF(D26=TRUE,"","酒水饮料销售额填写有误，请核对修改")</f>
        <v/>
      </c>
      <c r="E27" s="74">
        <f>IF(E26=TRUE,"","酒水饮料进货成本填写有误，请核对修改")</f>
        <v/>
      </c>
      <c r="F27" s="1" t="n"/>
      <c r="G27" s="1" t="n"/>
      <c r="H27" s="1" t="n"/>
      <c r="I27" s="1" t="n"/>
      <c r="J27" s="1" t="n"/>
      <c r="K27" s="1" t="n"/>
    </row>
    <row r="28" ht="14.5" customHeight="1"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 ht="14.5" customHeight="1"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 ht="14.5" customHeight="1">
      <c r="D30" s="1" t="n"/>
    </row>
  </sheetData>
  <mergeCells count="2">
    <mergeCell ref="B2:L2"/>
    <mergeCell ref="B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zoomScale="85" zoomScaleNormal="85" workbookViewId="0">
      <selection activeCell="B1" sqref="B1"/>
    </sheetView>
  </sheetViews>
  <sheetFormatPr baseColWidth="8" defaultColWidth="8.58203125" defaultRowHeight="14"/>
  <cols>
    <col width="3.25" customWidth="1" style="2" min="1" max="1"/>
    <col width="24.75" customWidth="1" style="2" min="2" max="2"/>
    <col width="25.08203125" customWidth="1" style="2" min="3" max="3"/>
    <col width="14.75" customWidth="1" style="2" min="4" max="11"/>
    <col width="8.58203125" customWidth="1" style="2" min="12" max="16384"/>
  </cols>
  <sheetData>
    <row r="1" ht="14.5" customHeight="1" thickBot="1"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</row>
    <row r="2" ht="14.5" customHeight="1">
      <c r="A2" s="12" t="n"/>
      <c r="B2" s="66" t="inlineStr">
        <is>
          <t>代表性门店2026年1-6月收支访谈表（只需要填黄色格子）</t>
        </is>
      </c>
      <c r="C2" s="76" t="n"/>
      <c r="D2" s="76" t="n"/>
      <c r="E2" s="76" t="n"/>
      <c r="F2" s="76" t="n"/>
      <c r="G2" s="76" t="n"/>
      <c r="H2" s="76" t="n"/>
      <c r="I2" s="76" t="n"/>
      <c r="J2" s="76" t="n"/>
      <c r="K2" s="79" t="n"/>
      <c r="L2" s="12" t="n"/>
    </row>
    <row r="3" ht="14.5" customHeight="1">
      <c r="A3" s="12" t="n"/>
      <c r="B3" s="83" t="inlineStr">
        <is>
          <t>填写说明：黄色格子手填，灰色格子自动算</t>
        </is>
      </c>
      <c r="K3" s="80" t="n"/>
      <c r="L3" s="12" t="n"/>
    </row>
    <row r="4" ht="14.5" customHeight="1">
      <c r="A4" s="12" t="n"/>
      <c r="B4" s="14" t="n"/>
      <c r="C4" s="10" t="n"/>
      <c r="D4" s="10" t="n"/>
      <c r="E4" s="10" t="n"/>
      <c r="F4" s="10" t="n"/>
      <c r="G4" s="10" t="n"/>
      <c r="H4" s="10" t="n"/>
      <c r="I4" s="10" t="n"/>
      <c r="J4" s="10" t="n"/>
      <c r="K4" s="30" t="n"/>
      <c r="L4" s="12" t="n"/>
    </row>
    <row r="5" ht="14.5" customHeight="1">
      <c r="A5" s="12" t="n"/>
      <c r="B5" s="16" t="inlineStr">
        <is>
          <t>一、包场品类整体表现</t>
        </is>
      </c>
      <c r="C5" s="3" t="inlineStr">
        <is>
          <t>项目</t>
        </is>
      </c>
      <c r="D5" s="3" t="inlineStr">
        <is>
          <t>请填写</t>
        </is>
      </c>
      <c r="E5" s="3" t="inlineStr">
        <is>
          <t>单位</t>
        </is>
      </c>
      <c r="F5" s="59" t="n"/>
      <c r="G5" s="59" t="n"/>
      <c r="H5" s="60" t="inlineStr">
        <is>
          <t>负责品类</t>
        </is>
      </c>
      <c r="I5" s="93" t="n"/>
      <c r="J5" s="93" t="n"/>
      <c r="K5" s="94" t="n"/>
      <c r="L5" s="12" t="n"/>
    </row>
    <row r="6" ht="14.5" customHeight="1">
      <c r="A6" s="12" t="n"/>
      <c r="B6" s="18" t="inlineStr">
        <is>
          <t>收入</t>
        </is>
      </c>
      <c r="C6" s="4" t="inlineStr">
        <is>
          <t>卖货收入</t>
        </is>
      </c>
      <c r="D6" s="84" t="n"/>
      <c r="E6" s="4" t="inlineStr">
        <is>
          <t>元</t>
        </is>
      </c>
      <c r="F6" s="4" t="n"/>
      <c r="G6" s="4" t="n"/>
      <c r="H6" s="95" t="n"/>
      <c r="I6" s="93" t="n"/>
      <c r="J6" s="93" t="n"/>
      <c r="K6" s="94" t="n"/>
      <c r="L6" s="12" t="n"/>
    </row>
    <row r="7" ht="14.5" customHeight="1">
      <c r="A7" s="12" t="n"/>
      <c r="B7" s="18" t="inlineStr">
        <is>
          <t>收入</t>
        </is>
      </c>
      <c r="C7" s="4" t="inlineStr">
        <is>
          <t>经销商/厂家给的返点/补贴/费用</t>
        </is>
      </c>
      <c r="D7" s="84" t="n"/>
      <c r="E7" s="4" t="inlineStr">
        <is>
          <t>元</t>
        </is>
      </c>
      <c r="F7" s="4" t="n"/>
      <c r="G7" s="4" t="n"/>
      <c r="H7" s="75" t="n"/>
      <c r="I7" s="4" t="n"/>
      <c r="J7" s="85" t="n"/>
      <c r="K7" s="31" t="n"/>
      <c r="L7" s="12" t="n"/>
    </row>
    <row r="8" ht="14.5" customHeight="1">
      <c r="A8" s="12" t="n"/>
      <c r="B8" s="18" t="inlineStr">
        <is>
          <t>货物成本</t>
        </is>
      </c>
      <c r="C8" s="4" t="inlineStr">
        <is>
          <t>进货成本</t>
        </is>
      </c>
      <c r="D8" s="84" t="n"/>
      <c r="E8" s="4" t="inlineStr">
        <is>
          <t>元</t>
        </is>
      </c>
      <c r="F8" s="4" t="n"/>
      <c r="G8" s="4" t="n"/>
      <c r="H8" s="75" t="n"/>
      <c r="I8" s="4" t="n"/>
      <c r="J8" s="85" t="n"/>
      <c r="K8" s="31" t="n"/>
      <c r="L8" s="12" t="n"/>
    </row>
    <row r="9" ht="14.5" customHeight="1">
      <c r="A9" s="12" t="n"/>
      <c r="B9" s="18" t="n"/>
      <c r="C9" s="29" t="inlineStr">
        <is>
          <t>毛利润</t>
        </is>
      </c>
      <c r="D9" s="86">
        <f>D6+D7-D8</f>
        <v/>
      </c>
      <c r="E9" s="6" t="n"/>
      <c r="F9" s="6" t="n"/>
      <c r="G9" s="6" t="n"/>
      <c r="H9" s="75" t="n"/>
      <c r="I9" s="4" t="n"/>
      <c r="J9" s="85" t="n"/>
      <c r="K9" s="31" t="n"/>
      <c r="L9" s="12" t="n"/>
    </row>
    <row r="10" ht="14.5" customHeight="1">
      <c r="A10" s="12" t="n"/>
      <c r="B10" s="18" t="inlineStr">
        <is>
          <t>费用</t>
        </is>
      </c>
      <c r="C10" s="4" t="inlineStr">
        <is>
          <t>终端费用</t>
        </is>
      </c>
      <c r="D10" s="84" t="n"/>
      <c r="E10" s="4" t="inlineStr">
        <is>
          <t>元</t>
        </is>
      </c>
      <c r="F10" s="4" t="n"/>
      <c r="G10" s="4" t="n"/>
      <c r="H10" s="75" t="n"/>
      <c r="I10" s="4" t="n"/>
      <c r="J10" s="85" t="n"/>
      <c r="K10" s="31" t="n"/>
      <c r="L10" s="12" t="n"/>
    </row>
    <row r="11" ht="14.5" customHeight="1">
      <c r="A11" s="12" t="n"/>
      <c r="B11" s="18" t="inlineStr">
        <is>
          <t>费用</t>
        </is>
      </c>
      <c r="C11" s="4" t="inlineStr">
        <is>
          <t>其他费用，请注明：</t>
        </is>
      </c>
      <c r="D11" s="84" t="n"/>
      <c r="E11" s="4" t="inlineStr">
        <is>
          <t>元</t>
        </is>
      </c>
      <c r="F11" s="4" t="n"/>
      <c r="G11" s="4" t="n"/>
      <c r="H11" s="4" t="n"/>
      <c r="I11" s="4" t="n"/>
      <c r="J11" s="85" t="n"/>
      <c r="K11" s="31" t="n"/>
      <c r="L11" s="12" t="n"/>
    </row>
    <row r="12" ht="14.5" customHeight="1">
      <c r="A12" s="12" t="n"/>
      <c r="B12" s="18" t="inlineStr">
        <is>
          <t>费用</t>
        </is>
      </c>
      <c r="C12" s="4" t="inlineStr">
        <is>
          <t>费用合计</t>
        </is>
      </c>
      <c r="D12" s="89">
        <f>D10+D11</f>
        <v/>
      </c>
      <c r="E12" s="4" t="n"/>
      <c r="F12" s="4" t="n"/>
      <c r="G12" s="4" t="n"/>
      <c r="H12" s="4" t="n"/>
      <c r="I12" s="4" t="n"/>
      <c r="J12" s="85" t="n"/>
      <c r="K12" s="31" t="n"/>
      <c r="L12" s="12" t="n"/>
    </row>
    <row r="13" ht="14.5" customHeight="1">
      <c r="A13" s="12" t="n"/>
      <c r="B13" s="43" t="n"/>
      <c r="C13" s="41" t="inlineStr">
        <is>
          <t>总净利润</t>
        </is>
      </c>
      <c r="D13" s="89">
        <f>D9-D12</f>
        <v/>
      </c>
      <c r="E13" s="38" t="n"/>
      <c r="F13" s="38" t="n"/>
      <c r="G13" s="38" t="n"/>
      <c r="H13" s="38" t="n"/>
      <c r="I13" s="38" t="n"/>
      <c r="J13" s="38" t="n"/>
      <c r="K13" s="44" t="n"/>
      <c r="L13" s="12" t="n"/>
    </row>
    <row r="14" ht="14.5" customHeight="1">
      <c r="A14" s="12" t="n"/>
      <c r="B14" s="43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44" t="n"/>
      <c r="L14" s="12" t="n"/>
    </row>
    <row r="15" ht="58" customFormat="1" customHeight="1" s="11">
      <c r="A15" s="42" t="n"/>
      <c r="B15" s="35" t="inlineStr">
        <is>
          <t>二、各品类表现
（仅填写负责的相关品类）</t>
        </is>
      </c>
      <c r="C15" s="36" t="inlineStr">
        <is>
          <t>品类</t>
        </is>
      </c>
      <c r="D15" s="36" t="inlineStr">
        <is>
          <t>销售额</t>
        </is>
      </c>
      <c r="E15" s="36" t="inlineStr">
        <is>
          <t>进货成本</t>
        </is>
      </c>
      <c r="F15" s="36" t="inlineStr">
        <is>
          <t>进店品牌数量</t>
        </is>
      </c>
      <c r="G15" s="36" t="inlineStr">
        <is>
          <t>进店品规数量
（如农夫山泉500ml和1.5l算2个品规）</t>
        </is>
      </c>
      <c r="H15" s="36" t="inlineStr">
        <is>
          <t>销量最大的3个品牌</t>
        </is>
      </c>
      <c r="I15" s="36" t="inlineStr">
        <is>
          <t>返点</t>
        </is>
      </c>
      <c r="J15" s="36" t="inlineStr">
        <is>
          <t>费用
(如陈列费、促销、活动)</t>
        </is>
      </c>
      <c r="K15" s="37" t="inlineStr">
        <is>
          <t>其他资源
(如冰柜、进场费)</t>
        </is>
      </c>
      <c r="L15" s="42" t="n"/>
    </row>
    <row r="16" ht="14.5" customHeight="1">
      <c r="A16" s="12" t="n"/>
      <c r="B16" s="18" t="inlineStr">
        <is>
          <t>品类销售</t>
        </is>
      </c>
      <c r="C16" s="4" t="inlineStr">
        <is>
          <t>瓶装水</t>
        </is>
      </c>
      <c r="D16" s="84" t="n"/>
      <c r="E16" s="84" t="n"/>
      <c r="F16" s="84" t="n"/>
      <c r="G16" s="84" t="n"/>
      <c r="H16" s="84" t="n"/>
      <c r="I16" s="84" t="n"/>
      <c r="J16" s="84" t="n"/>
      <c r="K16" s="90" t="n"/>
      <c r="L16" s="12" t="n"/>
    </row>
    <row r="17" ht="14.5" customHeight="1">
      <c r="A17" s="12" t="n"/>
      <c r="B17" s="18" t="inlineStr">
        <is>
          <t>品类销售</t>
        </is>
      </c>
      <c r="C17" s="4" t="inlineStr">
        <is>
          <t>软饮（碳酸/果汁/茶饮）</t>
        </is>
      </c>
      <c r="D17" s="84" t="n"/>
      <c r="E17" s="84" t="n"/>
      <c r="F17" s="84" t="n"/>
      <c r="G17" s="84" t="n"/>
      <c r="H17" s="84" t="n"/>
      <c r="I17" s="84" t="n"/>
      <c r="J17" s="84" t="n"/>
      <c r="K17" s="90" t="n"/>
      <c r="L17" s="12" t="n"/>
    </row>
    <row r="18" ht="14.5" customHeight="1">
      <c r="A18" s="12" t="n"/>
      <c r="B18" s="18" t="inlineStr">
        <is>
          <t>品类销售</t>
        </is>
      </c>
      <c r="C18" s="4" t="inlineStr">
        <is>
          <t>功能饮料</t>
        </is>
      </c>
      <c r="D18" s="84" t="n"/>
      <c r="E18" s="84" t="n"/>
      <c r="F18" s="84" t="n"/>
      <c r="G18" s="84" t="n"/>
      <c r="H18" s="84" t="n"/>
      <c r="I18" s="84" t="n"/>
      <c r="J18" s="84" t="n"/>
      <c r="K18" s="90" t="n"/>
      <c r="L18" s="12" t="n"/>
    </row>
    <row r="19" ht="14.5" customHeight="1">
      <c r="A19" s="12" t="n"/>
      <c r="B19" s="18" t="inlineStr">
        <is>
          <t>品类销售</t>
        </is>
      </c>
      <c r="C19" s="4" t="inlineStr">
        <is>
          <t>乳品（常温奶）</t>
        </is>
      </c>
      <c r="D19" s="84" t="n"/>
      <c r="E19" s="84" t="n"/>
      <c r="F19" s="84" t="n"/>
      <c r="G19" s="84" t="n"/>
      <c r="H19" s="84" t="n"/>
      <c r="I19" s="84" t="n"/>
      <c r="J19" s="84" t="n"/>
      <c r="K19" s="90" t="n"/>
      <c r="L19" s="12" t="n"/>
    </row>
    <row r="20" ht="14.5" customHeight="1">
      <c r="A20" s="12" t="n"/>
      <c r="B20" s="18" t="inlineStr">
        <is>
          <t>品类销售</t>
        </is>
      </c>
      <c r="C20" s="4" t="inlineStr">
        <is>
          <t>泡面</t>
        </is>
      </c>
      <c r="D20" s="84" t="n"/>
      <c r="E20" s="84" t="n"/>
      <c r="F20" s="84" t="n"/>
      <c r="G20" s="84" t="n"/>
      <c r="H20" s="84" t="n"/>
      <c r="I20" s="84" t="n"/>
      <c r="J20" s="84" t="n"/>
      <c r="K20" s="90" t="n"/>
      <c r="L20" s="12" t="n"/>
    </row>
    <row r="21" ht="14.5" customHeight="1">
      <c r="A21" s="12" t="n"/>
      <c r="B21" s="18" t="inlineStr">
        <is>
          <t>品类销售</t>
        </is>
      </c>
      <c r="C21" s="4" t="inlineStr">
        <is>
          <t>牙膏</t>
        </is>
      </c>
      <c r="D21" s="84" t="n"/>
      <c r="E21" s="84" t="n"/>
      <c r="F21" s="84" t="n"/>
      <c r="G21" s="84" t="n"/>
      <c r="H21" s="84" t="n"/>
      <c r="I21" s="84" t="n"/>
      <c r="J21" s="84" t="n"/>
      <c r="K21" s="90" t="n"/>
      <c r="L21" s="12" t="n"/>
    </row>
    <row r="22" ht="15" customHeight="1" thickBot="1">
      <c r="A22" s="12" t="n"/>
      <c r="B22" s="32" t="inlineStr">
        <is>
          <t>品类销售</t>
        </is>
      </c>
      <c r="C22" s="33" t="inlineStr">
        <is>
          <t>沐浴/洗发</t>
        </is>
      </c>
      <c r="D22" s="91" t="n"/>
      <c r="E22" s="91" t="n"/>
      <c r="F22" s="91" t="n"/>
      <c r="G22" s="91" t="n"/>
      <c r="H22" s="91" t="n"/>
      <c r="I22" s="91" t="n"/>
      <c r="J22" s="91" t="n"/>
      <c r="K22" s="92" t="n"/>
      <c r="L22" s="12" t="n"/>
    </row>
    <row r="23" ht="14.5" customHeight="1">
      <c r="B23" s="1" t="n"/>
      <c r="C23" s="1" t="n"/>
      <c r="D23" s="10">
        <f>D6=SUM(D16:D22)</f>
        <v/>
      </c>
      <c r="E23" s="10">
        <f>D8=SUM(E16:E22)</f>
        <v/>
      </c>
      <c r="F23" s="10" t="n"/>
      <c r="G23" s="10" t="n"/>
      <c r="H23" s="1" t="n"/>
      <c r="I23" s="1" t="n"/>
      <c r="J23" s="1" t="n"/>
    </row>
    <row r="24" ht="40" customHeight="1">
      <c r="B24" s="1" t="n"/>
      <c r="C24" s="1" t="n"/>
      <c r="D24" s="74">
        <f>IF(D23=TRUE,"","销售额填写有误，请核对修改")</f>
        <v/>
      </c>
      <c r="E24" s="74">
        <f>IF(E23=TRUE,"","进货成本填写有误，请核对修改")</f>
        <v/>
      </c>
      <c r="F24" s="74" t="n"/>
    </row>
    <row r="25" ht="14.5" customHeight="1"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 ht="14.5" customHeight="1">
      <c r="B26" s="1" t="n"/>
      <c r="C26" s="1" t="n"/>
      <c r="D26" s="1" t="n"/>
      <c r="E26" s="1" t="n"/>
      <c r="F26" s="1" t="n"/>
      <c r="G26" s="1" t="n"/>
    </row>
    <row r="27" ht="14.5" customHeight="1">
      <c r="D27" s="1" t="n"/>
    </row>
  </sheetData>
  <mergeCells count="4">
    <mergeCell ref="H6:K6"/>
    <mergeCell ref="B3:K3"/>
    <mergeCell ref="H5:K5"/>
    <mergeCell ref="B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Shen, Diane</dc:creator>
  <dcterms:created xsi:type="dcterms:W3CDTF">2026-06-30T13:48:43Z</dcterms:created>
  <dcterms:modified xsi:type="dcterms:W3CDTF">2026-07-02T06:24:56Z</dcterms:modified>
  <cp:lastModifiedBy>Xu, Ruiyi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3a01438-abba-4ed6-99e0-3951a31b7aa1_Enabled" fmtid="{D5CDD505-2E9C-101B-9397-08002B2CF9AE}" pid="2">
    <vt:lpwstr>true</vt:lpwstr>
  </property>
  <property name="MSIP_Label_a3a01438-abba-4ed6-99e0-3951a31b7aa1_SetDate" fmtid="{D5CDD505-2E9C-101B-9397-08002B2CF9AE}" pid="3">
    <vt:lpwstr>2026-06-30T13:48:23Z</vt:lpwstr>
  </property>
  <property name="MSIP_Label_a3a01438-abba-4ed6-99e0-3951a31b7aa1_Method" fmtid="{D5CDD505-2E9C-101B-9397-08002B2CF9AE}" pid="4">
    <vt:lpwstr>Standard</vt:lpwstr>
  </property>
  <property name="MSIP_Label_a3a01438-abba-4ed6-99e0-3951a31b7aa1_Name" fmtid="{D5CDD505-2E9C-101B-9397-08002B2CF9AE}" pid="5">
    <vt:lpwstr>bcgCN_lbl_nonsensitive</vt:lpwstr>
  </property>
  <property name="MSIP_Label_a3a01438-abba-4ed6-99e0-3951a31b7aa1_SiteId" fmtid="{D5CDD505-2E9C-101B-9397-08002B2CF9AE}" pid="6">
    <vt:lpwstr>69c54104-2566-493f-94f9-63c84681f2a2</vt:lpwstr>
  </property>
  <property name="MSIP_Label_a3a01438-abba-4ed6-99e0-3951a31b7aa1_ActionId" fmtid="{D5CDD505-2E9C-101B-9397-08002B2CF9AE}" pid="7">
    <vt:lpwstr>1d7d4cb1-7765-423e-8c4e-88d7fc7016c4</vt:lpwstr>
  </property>
  <property name="MSIP_Label_a3a01438-abba-4ed6-99e0-3951a31b7aa1_ContentBits" fmtid="{D5CDD505-2E9C-101B-9397-08002B2CF9AE}" pid="8">
    <vt:lpwstr>0</vt:lpwstr>
  </property>
  <property name="MSIP_Label_a3a01438-abba-4ed6-99e0-3951a31b7aa1_Tag" fmtid="{D5CDD505-2E9C-101B-9397-08002B2CF9AE}" pid="9">
    <vt:lpwstr>10, 3, 0, 1</vt:lpwstr>
  </property>
  <property name="ContentTypeId" fmtid="{D5CDD505-2E9C-101B-9397-08002B2CF9AE}" pid="10">
    <vt:lpwstr>0x010100D937182D8811E1469D84E111DAEFEA61</vt:lpwstr>
  </property>
</Properties>
</file>