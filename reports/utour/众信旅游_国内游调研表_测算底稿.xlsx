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表" sheetId="1" state="visible" r:id="rId1"/>
    <sheet name="测算底稿" sheetId="2" state="visible" r:id="rId2"/>
    <sheet name="口径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+0.00%;-0.00%"/>
    <numFmt numFmtId="165" formatCode="+0%"/>
    <numFmt numFmtId="166" formatCode="+0.0%;-0.0%"/>
    <numFmt numFmtId="167" formatCode="+0%;-0%"/>
    <numFmt numFmtId="168" formatCode="0.0%"/>
    <numFmt numFmtId="169" formatCode="0.0"/>
    <numFmt numFmtId="170" formatCode="+0.0%;-0.0%;0.0%"/>
    <numFmt numFmtId="171" formatCode="+0%;-0%;0%"/>
  </numFmts>
  <fonts count="14">
    <font>
      <name val="Calibri"/>
      <family val="2"/>
      <color theme="1"/>
      <sz val="11"/>
      <scheme val="minor"/>
    </font>
    <font>
      <name val="宋体"/>
      <b val="1"/>
      <sz val="11"/>
    </font>
    <font>
      <name val="宋体"/>
      <sz val="11"/>
    </font>
    <font>
      <name val="宋体"/>
      <b val="1"/>
      <color rgb="FF000000"/>
      <sz val="13"/>
    </font>
    <font>
      <name val="宋体"/>
      <color rgb="FF666666"/>
      <sz val="9"/>
    </font>
    <font>
      <name val="宋体"/>
      <b val="1"/>
      <color rgb="FF000000"/>
      <sz val="11"/>
    </font>
    <font>
      <name val="宋体"/>
      <color rgb="FF000000"/>
      <sz val="11"/>
    </font>
    <font>
      <name val="宋体"/>
      <color rgb="FF0000FF"/>
      <sz val="11"/>
    </font>
    <font>
      <name val="宋体"/>
      <color rgb="FF000000"/>
      <sz val="9"/>
    </font>
    <font>
      <name val="宋体"/>
      <b val="1"/>
      <color rgb="FF0000FF"/>
      <sz val="11"/>
    </font>
    <font>
      <name val="宋体"/>
      <color rgb="FF008000"/>
      <sz val="11"/>
    </font>
    <font>
      <name val="宋体"/>
      <sz val="10"/>
    </font>
    <font>
      <name val="宋体"/>
      <b val="1"/>
      <sz val="13"/>
    </font>
    <font>
      <name val="宋体"/>
      <sz val="9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FFD9D9D9"/>
      </patternFill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3" fontId="10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3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 vertical="center" wrapText="1"/>
    </xf>
    <xf numFmtId="2" fontId="6" fillId="0" borderId="5" applyAlignment="1" pivotButton="0" quotePrefix="0" xfId="0">
      <alignment horizontal="right" vertical="center"/>
    </xf>
    <xf numFmtId="2" fontId="7" fillId="0" borderId="5" applyAlignment="1" pivotButton="0" quotePrefix="0" xfId="0">
      <alignment horizontal="right" vertical="center"/>
    </xf>
    <xf numFmtId="164" fontId="7" fillId="0" borderId="5" applyAlignment="1" pivotButton="0" quotePrefix="0" xfId="0">
      <alignment horizontal="right" vertical="center"/>
    </xf>
    <xf numFmtId="0" fontId="8" fillId="0" borderId="5" applyAlignment="1" pivotButton="0" quotePrefix="0" xfId="0">
      <alignment horizontal="left" vertical="center" wrapText="1"/>
    </xf>
    <xf numFmtId="165" fontId="7" fillId="0" borderId="5" applyAlignment="1" pivotButton="0" quotePrefix="0" xfId="0">
      <alignment horizontal="right" vertical="center"/>
    </xf>
    <xf numFmtId="166" fontId="7" fillId="0" borderId="5" applyAlignment="1" pivotButton="0" quotePrefix="0" xfId="0">
      <alignment horizontal="right" vertical="center"/>
    </xf>
    <xf numFmtId="9" fontId="7" fillId="4" borderId="5" applyAlignment="1" pivotButton="0" quotePrefix="0" xfId="0">
      <alignment horizontal="right" vertical="center"/>
    </xf>
    <xf numFmtId="167" fontId="7" fillId="4" borderId="5" applyAlignment="1" pivotButton="0" quotePrefix="0" xfId="0">
      <alignment horizontal="right" vertical="center"/>
    </xf>
    <xf numFmtId="168" fontId="9" fillId="4" borderId="5" applyAlignment="1" pivotButton="0" quotePrefix="0" xfId="0">
      <alignment horizontal="right" vertical="center"/>
    </xf>
    <xf numFmtId="166" fontId="6" fillId="0" borderId="5" applyAlignment="1" pivotButton="0" quotePrefix="0" xfId="0">
      <alignment horizontal="right" vertical="center"/>
    </xf>
    <xf numFmtId="169" fontId="7" fillId="4" borderId="5" applyAlignment="1" pivotButton="0" quotePrefix="0" xfId="0">
      <alignment horizontal="right" vertical="center"/>
    </xf>
    <xf numFmtId="168" fontId="6" fillId="0" borderId="5" applyAlignment="1" pivotButton="0" quotePrefix="0" xfId="0">
      <alignment horizontal="right" vertical="center"/>
    </xf>
    <xf numFmtId="3" fontId="7" fillId="4" borderId="5" applyAlignment="1" pivotButton="0" quotePrefix="0" xfId="0">
      <alignment horizontal="right" vertical="center"/>
    </xf>
    <xf numFmtId="168" fontId="7" fillId="4" borderId="5" applyAlignment="1" pivotButton="0" quotePrefix="0" xfId="0">
      <alignment horizontal="right" vertical="center"/>
    </xf>
    <xf numFmtId="3" fontId="6" fillId="0" borderId="5" applyAlignment="1" pivotButton="0" quotePrefix="0" xfId="0">
      <alignment horizontal="right" vertical="center"/>
    </xf>
    <xf numFmtId="0" fontId="5" fillId="0" borderId="5" applyAlignment="1" pivotButton="0" quotePrefix="0" xfId="0">
      <alignment horizontal="left" vertical="center" wrapText="1"/>
    </xf>
    <xf numFmtId="170" fontId="6" fillId="0" borderId="5" applyAlignment="1" pivotButton="0" quotePrefix="0" xfId="0">
      <alignment horizontal="right" vertical="center"/>
    </xf>
    <xf numFmtId="10" fontId="6" fillId="0" borderId="5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2" fontId="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 wrapText="1"/>
    </xf>
    <xf numFmtId="3" fontId="2" fillId="0" borderId="0" applyAlignment="1" pivotButton="0" quotePrefix="0" xfId="0">
      <alignment horizontal="right" vertical="center"/>
    </xf>
    <xf numFmtId="169" fontId="2" fillId="0" borderId="0" applyAlignment="1" pivotButton="0" quotePrefix="0" xfId="0">
      <alignment horizontal="right" vertical="center"/>
    </xf>
    <xf numFmtId="168" fontId="2" fillId="0" borderId="0" applyAlignment="1" pivotButton="0" quotePrefix="0" xfId="0">
      <alignment horizontal="right" vertical="center"/>
    </xf>
    <xf numFmtId="9" fontId="2" fillId="0" borderId="0" applyAlignment="1" pivotButton="0" quotePrefix="0" xfId="0">
      <alignment horizontal="right" vertical="center"/>
    </xf>
    <xf numFmtId="171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1" customWidth="1" min="4" max="4"/>
    <col width="11" customWidth="1" min="5" max="5"/>
    <col width="11" customWidth="1" min="6" max="6"/>
    <col width="11" customWidth="1" min="7" max="7"/>
    <col width="64" customWidth="1" min="8" max="8"/>
  </cols>
  <sheetData>
    <row r="1" ht="22" customHeight="1">
      <c r="A1" s="1" t="inlineStr">
        <is>
          <t>指标</t>
        </is>
      </c>
      <c r="B1" s="1" t="inlineStr">
        <is>
          <t>类型1</t>
        </is>
      </c>
      <c r="C1" s="1" t="inlineStr">
        <is>
          <t>类型2</t>
        </is>
      </c>
      <c r="D1" s="1" t="inlineStr">
        <is>
          <t>2024全年</t>
        </is>
      </c>
      <c r="E1" s="1" t="inlineStr">
        <is>
          <t>2025全年</t>
        </is>
      </c>
      <c r="F1" s="1" t="inlineStr">
        <is>
          <t>2025 1-8月</t>
        </is>
      </c>
      <c r="G1" s="1" t="inlineStr">
        <is>
          <t>2026 1-8月</t>
        </is>
      </c>
      <c r="H1" s="1" t="inlineStr">
        <is>
          <t>2026vs2025波动原因</t>
        </is>
      </c>
    </row>
    <row r="2" ht="50" customHeight="1">
      <c r="A2" s="2" t="inlineStr">
        <is>
          <t>订单均价</t>
        </is>
      </c>
      <c r="B2" s="2" t="inlineStr">
        <is>
          <t>拼大团</t>
        </is>
      </c>
      <c r="C2" s="2" t="inlineStr">
        <is>
          <t>含大交通散拼团-大车</t>
        </is>
      </c>
      <c r="D2" s="6">
        <f>'测算底稿'!B43</f>
        <v/>
      </c>
      <c r="E2" s="6">
        <f>'测算底稿'!C43</f>
        <v/>
      </c>
      <c r="F2" s="6">
        <f>'测算底稿'!D43</f>
        <v/>
      </c>
      <c r="G2" s="6">
        <f>'测算底稿'!E43</f>
        <v/>
      </c>
      <c r="H2" s="7">
        <f>"均价"&amp;TEXT('测算底稿'!F43,"+0.0%;-0.0%;0.0%")&amp;"（"&amp;IF('测算底稿'!F43&gt;0.03,"增长",IF('测算底稿'!F43&lt;-0.03,"下降","基本持平"))&amp;"）。"&amp;"人均花费下行（全国2026H1人均出游花费−3.2%）；新开华中/华北门店以高铁可达的中短线为主，拉低均价"</f>
        <v/>
      </c>
    </row>
    <row r="3" ht="50" customHeight="1">
      <c r="A3" s="4" t="n"/>
      <c r="B3" s="4" t="n"/>
      <c r="C3" s="2" t="inlineStr">
        <is>
          <t>当地拼团多日游-大车</t>
        </is>
      </c>
      <c r="D3" s="6">
        <f>'测算底稿'!B44</f>
        <v/>
      </c>
      <c r="E3" s="6">
        <f>'测算底稿'!C44</f>
        <v/>
      </c>
      <c r="F3" s="6">
        <f>'测算底稿'!D44</f>
        <v/>
      </c>
      <c r="G3" s="6">
        <f>'测算底稿'!E44</f>
        <v/>
      </c>
      <c r="H3" s="7">
        <f>"均价"&amp;TEXT('测算底稿'!F44,"+0.0%;-0.0%;0.0%")&amp;"（"&amp;IF('测算底稿'!F44&gt;0.03,"增长",IF('测算底稿'!F44&lt;-0.03,"下降","基本持平"))&amp;"）。"&amp;"目的地大巴团价格竞争充分，随全国人均花费小幅下行"</f>
        <v/>
      </c>
    </row>
    <row r="4" ht="50" customHeight="1">
      <c r="A4" s="4" t="n"/>
      <c r="B4" s="5" t="n"/>
      <c r="C4" s="2" t="inlineStr">
        <is>
          <t>一日游</t>
        </is>
      </c>
      <c r="D4" s="6">
        <f>'测算底稿'!B45</f>
        <v/>
      </c>
      <c r="E4" s="6">
        <f>'测算底稿'!C45</f>
        <v/>
      </c>
      <c r="F4" s="6">
        <f>'测算底稿'!D45</f>
        <v/>
      </c>
      <c r="G4" s="6">
        <f>'测算底稿'!E45</f>
        <v/>
      </c>
      <c r="H4" s="7">
        <f>"均价"&amp;TEXT('测算底稿'!F45,"+0.0%;-0.0%;0.0%")&amp;"（"&amp;IF('测算底稿'!F45&gt;0.03,"增长",IF('测算底稿'!F45&lt;-0.03,"下降","基本持平"))&amp;"）。"&amp;"标准化低价产品，价格刚性"</f>
        <v/>
      </c>
    </row>
    <row r="5" ht="50" customHeight="1">
      <c r="A5" s="4" t="n"/>
      <c r="B5" s="2" t="inlineStr">
        <is>
          <t>拼小团</t>
        </is>
      </c>
      <c r="C5" s="2" t="inlineStr">
        <is>
          <t>含大交通散拼团-小车</t>
        </is>
      </c>
      <c r="D5" s="6">
        <f>'测算底稿'!B46</f>
        <v/>
      </c>
      <c r="E5" s="6">
        <f>'测算底稿'!C46</f>
        <v/>
      </c>
      <c r="F5" s="6">
        <f>'测算底稿'!D46</f>
        <v/>
      </c>
      <c r="G5" s="6">
        <f>'测算底稿'!E46</f>
        <v/>
      </c>
      <c r="H5" s="7">
        <f>"均价"&amp;TEXT('测算底稿'!F46,"+0.0%;-0.0%;0.0%")&amp;"（"&amp;IF('测算底稿'!F46&gt;0.03,"增长",IF('测算底稿'!F46&lt;-0.03,"下降","基本持平"))&amp;"）。"&amp;"小团供给增加、同业跟进，价格小幅让利"</f>
        <v/>
      </c>
    </row>
    <row r="6" ht="50" customHeight="1">
      <c r="A6" s="4" t="n"/>
      <c r="B6" s="5" t="n"/>
      <c r="C6" s="2" t="inlineStr">
        <is>
          <t>当地拼团-小车</t>
        </is>
      </c>
      <c r="D6" s="6">
        <f>'测算底稿'!B47</f>
        <v/>
      </c>
      <c r="E6" s="6">
        <f>'测算底稿'!C47</f>
        <v/>
      </c>
      <c r="F6" s="6">
        <f>'测算底稿'!D47</f>
        <v/>
      </c>
      <c r="G6" s="6">
        <f>'测算底稿'!E47</f>
        <v/>
      </c>
      <c r="H6" s="7">
        <f>"均价"&amp;TEXT('测算底稿'!F47,"+0.0%;-0.0%;0.0%")&amp;"（"&amp;IF('测算底稿'!F47&gt;0.03,"增长",IF('测算底稿'!F47&lt;-0.03,"下降","基本持平"))&amp;"）。"&amp;"目的地小团定价随市场小幅下行"</f>
        <v/>
      </c>
    </row>
    <row r="7" ht="50" customHeight="1">
      <c r="A7" s="4" t="n"/>
      <c r="B7" s="2" t="inlineStr">
        <is>
          <t>私家团</t>
        </is>
      </c>
      <c r="C7" s="2" t="inlineStr">
        <is>
          <t>含大交通私家团</t>
        </is>
      </c>
      <c r="D7" s="6">
        <f>'测算底稿'!B48</f>
        <v/>
      </c>
      <c r="E7" s="6">
        <f>'测算底稿'!C48</f>
        <v/>
      </c>
      <c r="F7" s="6">
        <f>'测算底稿'!D48</f>
        <v/>
      </c>
      <c r="G7" s="6">
        <f>'测算底稿'!E48</f>
        <v/>
      </c>
      <c r="H7" s="7">
        <f>"均价"&amp;TEXT('测算底稿'!F48,"+0.0%;-0.0%;0.0%")&amp;"（"&amp;IF('测算底稿'!F48&gt;0.03,"增长",IF('测算底稿'!F48&lt;-0.03,"下降","基本持平"))&amp;"）。"&amp;"中长线私家团为主，价格随市场小幅下行"</f>
        <v/>
      </c>
    </row>
    <row r="8" ht="50" customHeight="1">
      <c r="A8" s="4" t="n"/>
      <c r="B8" s="5" t="n"/>
      <c r="C8" s="2" t="inlineStr">
        <is>
          <t>当地私家团</t>
        </is>
      </c>
      <c r="D8" s="6">
        <f>'测算底稿'!B49</f>
        <v/>
      </c>
      <c r="E8" s="6">
        <f>'测算底稿'!C49</f>
        <v/>
      </c>
      <c r="F8" s="6">
        <f>'测算底稿'!D49</f>
        <v/>
      </c>
      <c r="G8" s="6">
        <f>'测算底稿'!E49</f>
        <v/>
      </c>
      <c r="H8" s="7">
        <f>"均价"&amp;TEXT('测算底稿'!F49,"+0.0%;-0.0%;0.0%")&amp;"（"&amp;IF('测算底稿'!F49&gt;0.03,"增长",IF('测算底稿'!F49&lt;-0.03,"下降","基本持平"))&amp;"）。"&amp;"目的地私家团定价稳定"</f>
        <v/>
      </c>
    </row>
    <row r="9" ht="50" customHeight="1">
      <c r="A9" s="4" t="n"/>
      <c r="B9" s="2" t="inlineStr">
        <is>
          <t>定制游</t>
        </is>
      </c>
      <c r="C9" s="2" t="inlineStr">
        <is>
          <t>含大交通定制</t>
        </is>
      </c>
      <c r="D9" s="6">
        <f>'测算底稿'!B50</f>
        <v/>
      </c>
      <c r="E9" s="6">
        <f>'测算底稿'!C50</f>
        <v/>
      </c>
      <c r="F9" s="6">
        <f>'测算底稿'!D50</f>
        <v/>
      </c>
      <c r="G9" s="6">
        <f>'测算底稿'!E50</f>
        <v/>
      </c>
      <c r="H9" s="7">
        <f>"均价"&amp;TEXT('测算底稿'!F50,"+0.0%;-0.0%;0.0%")&amp;"（"&amp;IF('测算底稿'!F50&gt;0.03,"增长",IF('测算底稿'!F50&lt;-0.03,"下降","基本持平"))&amp;"）。"&amp;"高端定制客群价格敏感度低"</f>
        <v/>
      </c>
    </row>
    <row r="10" ht="50" customHeight="1">
      <c r="A10" s="5" t="n"/>
      <c r="B10" s="5" t="n"/>
      <c r="C10" s="2" t="inlineStr">
        <is>
          <t>当地定制</t>
        </is>
      </c>
      <c r="D10" s="6">
        <f>'测算底稿'!B51</f>
        <v/>
      </c>
      <c r="E10" s="6">
        <f>'测算底稿'!C51</f>
        <v/>
      </c>
      <c r="F10" s="6">
        <f>'测算底稿'!D51</f>
        <v/>
      </c>
      <c r="G10" s="6">
        <f>'测算底稿'!E51</f>
        <v/>
      </c>
      <c r="H10" s="7">
        <f>"均价"&amp;TEXT('测算底稿'!F51,"+0.0%;-0.0%;0.0%")&amp;"（"&amp;IF('测算底稿'!F51&gt;0.03,"增长",IF('测算底稿'!F51&lt;-0.03,"下降","基本持平"))&amp;"）。"&amp;"目的地定制定价稳定"</f>
        <v/>
      </c>
    </row>
    <row r="11" ht="50" customHeight="1">
      <c r="A11" s="2" t="inlineStr">
        <is>
          <t>收客人次</t>
        </is>
      </c>
      <c r="B11" s="2" t="inlineStr">
        <is>
          <t>拼大团</t>
        </is>
      </c>
      <c r="C11" s="2" t="inlineStr">
        <is>
          <t>含大交通散拼团-大车</t>
        </is>
      </c>
      <c r="D11" s="6">
        <f>'测算底稿'!B54</f>
        <v/>
      </c>
      <c r="E11" s="6">
        <f>'测算底稿'!C54</f>
        <v/>
      </c>
      <c r="F11" s="6">
        <f>'测算底稿'!D54</f>
        <v/>
      </c>
      <c r="G11" s="6">
        <f>'测算底稿'!E54</f>
        <v/>
      </c>
      <c r="H11" s="7">
        <f>"人次"&amp;TEXT('测算底稿'!F54,"+0.0%;-0.0%;0.0%")&amp;"（"&amp;IF('测算底稿'!F54&gt;0.03,"增长",IF('测算底稿'!F54&lt;-0.03,"下降","基本持平"))&amp;"）。"&amp;"整体：国内游收客"&amp;TEXT('测算底稿'!F40,"+0%;-0%")&amp;"（零售与加盟门店向华中、华北、华东扩张，五一国内游出游人次+168%；国内业务基数小）。结构："&amp;"新增出发地客源被向小团、私家团和目的地参团的分流抵消，大团人次占比由约38%降至约28%"</f>
        <v/>
      </c>
    </row>
    <row r="12" ht="50" customHeight="1">
      <c r="A12" s="4" t="n"/>
      <c r="B12" s="4" t="n"/>
      <c r="C12" s="2" t="inlineStr">
        <is>
          <t>当地拼团多日游-大车</t>
        </is>
      </c>
      <c r="D12" s="6">
        <f>'测算底稿'!B55</f>
        <v/>
      </c>
      <c r="E12" s="6">
        <f>'测算底稿'!C55</f>
        <v/>
      </c>
      <c r="F12" s="6">
        <f>'测算底稿'!D55</f>
        <v/>
      </c>
      <c r="G12" s="6">
        <f>'测算底稿'!E55</f>
        <v/>
      </c>
      <c r="H12" s="7">
        <f>"人次"&amp;TEXT('测算底稿'!F55,"+0.0%;-0.0%;0.0%")&amp;"（"&amp;IF('测算底稿'!F55&gt;0.03,"增长",IF('测算底稿'!F55&lt;-0.03,"下降","基本持平"))&amp;"）。"&amp;"整体：国内游收客"&amp;TEXT('测算底稿'!F40,"+0%;-0%")&amp;"（零售与加盟门店向华中、华北、华东扩张，五一国内游出游人次+168%；国内业务基数小）。结构："&amp;"新增门店客源偏好目的地参团；新疆、云南等“顶流”目的地热度延续"</f>
        <v/>
      </c>
    </row>
    <row r="13" ht="50" customHeight="1">
      <c r="A13" s="4" t="n"/>
      <c r="B13" s="5" t="n"/>
      <c r="C13" s="2" t="inlineStr">
        <is>
          <t>一日游</t>
        </is>
      </c>
      <c r="D13" s="6">
        <f>'测算底稿'!B56</f>
        <v/>
      </c>
      <c r="E13" s="6">
        <f>'测算底稿'!C56</f>
        <v/>
      </c>
      <c r="F13" s="6">
        <f>'测算底稿'!D56</f>
        <v/>
      </c>
      <c r="G13" s="6">
        <f>'测算底稿'!E56</f>
        <v/>
      </c>
      <c r="H13" s="7">
        <f>"人次"&amp;TEXT('测算底稿'!F56,"+0.0%;-0.0%;0.0%")&amp;"（"&amp;IF('测算底稿'!F56&gt;0.03,"增长",IF('测算底稿'!F56&lt;-0.03,"下降","基本持平"))&amp;"）。"&amp;"整体：国内游收客"&amp;TEXT('测算底稿'!F40,"+0%;-0%")&amp;"（零售与加盟门店向华中、华北、华东扩张，五一国内游出游人次+168%；国内业务基数小）。结构："&amp;"目的地参团与短线客群增加带动一日游"</f>
        <v/>
      </c>
    </row>
    <row r="14" ht="50" customHeight="1">
      <c r="A14" s="4" t="n"/>
      <c r="B14" s="2" t="inlineStr">
        <is>
          <t>拼小团</t>
        </is>
      </c>
      <c r="C14" s="2" t="inlineStr">
        <is>
          <t>含大交通散拼团-小车</t>
        </is>
      </c>
      <c r="D14" s="6">
        <f>'测算底稿'!B57</f>
        <v/>
      </c>
      <c r="E14" s="6">
        <f>'测算底稿'!C57</f>
        <v/>
      </c>
      <c r="F14" s="6">
        <f>'测算底稿'!D57</f>
        <v/>
      </c>
      <c r="G14" s="6">
        <f>'测算底稿'!E57</f>
        <v/>
      </c>
      <c r="H14" s="7">
        <f>"人次"&amp;TEXT('测算底稿'!F57,"+0.0%;-0.0%;0.0%")&amp;"（"&amp;IF('测算底稿'!F57&gt;0.03,"增长",IF('测算底稿'!F57&lt;-0.03,"下降","基本持平"))&amp;"）。"&amp;"整体：国内游收客"&amp;TEXT('测算底稿'!F40,"+0%;-0%")&amp;"（零售与加盟门店向华中、华北、华东扩张，五一国内游出游人次+168%；国内业务基数小）。结构："&amp;"大团变小团趋势延续；五一喀纳斯、伊犁等小团线路供不应求"</f>
        <v/>
      </c>
    </row>
    <row r="15" ht="50" customHeight="1">
      <c r="A15" s="4" t="n"/>
      <c r="B15" s="5" t="n"/>
      <c r="C15" s="2" t="inlineStr">
        <is>
          <t>当地拼团多日游-小车</t>
        </is>
      </c>
      <c r="D15" s="6">
        <f>'测算底稿'!B58</f>
        <v/>
      </c>
      <c r="E15" s="6">
        <f>'测算底稿'!C58</f>
        <v/>
      </c>
      <c r="F15" s="6">
        <f>'测算底稿'!D58</f>
        <v/>
      </c>
      <c r="G15" s="6">
        <f>'测算底稿'!E58</f>
        <v/>
      </c>
      <c r="H15" s="7">
        <f>"人次"&amp;TEXT('测算底稿'!F58,"+0.0%;-0.0%;0.0%")&amp;"（"&amp;IF('测算底稿'!F58&gt;0.03,"增长",IF('测算底稿'!F58&lt;-0.03,"下降","基本持平"))&amp;"）。"&amp;"整体：国内游收客"&amp;TEXT('测算底稿'!F40,"+0%;-0%")&amp;"（零售与加盟门店向华中、华北、华东扩张，五一国内游出游人次+168%；国内业务基数小）。结构："&amp;"新疆、云南、西北小车拼团成为主流形态"</f>
        <v/>
      </c>
    </row>
    <row r="16" ht="50" customHeight="1">
      <c r="A16" s="4" t="n"/>
      <c r="B16" s="2" t="inlineStr">
        <is>
          <t>私家团</t>
        </is>
      </c>
      <c r="C16" s="2" t="inlineStr">
        <is>
          <t>含大交通私家团</t>
        </is>
      </c>
      <c r="D16" s="6">
        <f>'测算底稿'!B59</f>
        <v/>
      </c>
      <c r="E16" s="6">
        <f>'测算底稿'!C59</f>
        <v/>
      </c>
      <c r="F16" s="6">
        <f>'测算底稿'!D59</f>
        <v/>
      </c>
      <c r="G16" s="6">
        <f>'测算底稿'!E59</f>
        <v/>
      </c>
      <c r="H16" s="7">
        <f>"人次"&amp;TEXT('测算底稿'!F59,"+0.0%;-0.0%;0.0%")&amp;"（"&amp;IF('测算底稿'!F59&gt;0.03,"增长",IF('测算底稿'!F59&lt;-0.03,"下降","基本持平"))&amp;"）。"&amp;"整体：国内游收客"&amp;TEXT('测算底稿'!F40,"+0%;-0%")&amp;"（零售与加盟门店向华中、华北、华东扩张，五一国内游出游人次+168%；国内业务基数小）。结构："&amp;"家庭亲子出游偏好私密成团（2026暑期行业小团、私家团、定制预订占比稳步提升）"</f>
        <v/>
      </c>
    </row>
    <row r="17" ht="50" customHeight="1">
      <c r="A17" s="4" t="n"/>
      <c r="B17" s="5" t="n"/>
      <c r="C17" s="2" t="inlineStr">
        <is>
          <t>当地私家团</t>
        </is>
      </c>
      <c r="D17" s="6">
        <f>'测算底稿'!B60</f>
        <v/>
      </c>
      <c r="E17" s="6">
        <f>'测算底稿'!C60</f>
        <v/>
      </c>
      <c r="F17" s="6">
        <f>'测算底稿'!D60</f>
        <v/>
      </c>
      <c r="G17" s="6">
        <f>'测算底稿'!E60</f>
        <v/>
      </c>
      <c r="H17" s="7">
        <f>"人次"&amp;TEXT('测算底稿'!F60,"+0.0%;-0.0%;0.0%")&amp;"（"&amp;IF('测算底稿'!F60&gt;0.03,"增长",IF('测算底稿'!F60&lt;-0.03,"下降","基本持平"))&amp;"）。"&amp;"整体：国内游收客"&amp;TEXT('测算底稿'!F40,"+0%;-0%")&amp;"（零售与加盟门店向华中、华北、华东扩张，五一国内游出游人次+168%；国内业务基数小）。结构："&amp;"家庭出游私密化，目的地私家团与出发地私家团同步增长"</f>
        <v/>
      </c>
    </row>
    <row r="18" ht="50" customHeight="1">
      <c r="A18" s="4" t="n"/>
      <c r="B18" s="2" t="inlineStr">
        <is>
          <t>定制游</t>
        </is>
      </c>
      <c r="C18" s="2" t="inlineStr">
        <is>
          <t>含大交通定制</t>
        </is>
      </c>
      <c r="D18" s="6">
        <f>'测算底稿'!B61</f>
        <v/>
      </c>
      <c r="E18" s="6">
        <f>'测算底稿'!C61</f>
        <v/>
      </c>
      <c r="F18" s="6">
        <f>'测算底稿'!D61</f>
        <v/>
      </c>
      <c r="G18" s="6">
        <f>'测算底稿'!E61</f>
        <v/>
      </c>
      <c r="H18" s="7">
        <f>"人次"&amp;TEXT('测算底稿'!F61,"+0.0%;-0.0%;0.0%")&amp;"（"&amp;IF('测算底稿'!F61&gt;0.03,"增长",IF('测算底稿'!F61&lt;-0.03,"下降","基本持平"))&amp;"）。"&amp;"整体：国内游收客"&amp;TEXT('测算底稿'!F40,"+0%;-0%")&amp;"（零售与加盟门店向华中、华北、华东扩张，五一国内游出游人次+168%；国内业务基数小）。结构："&amp;"定制需求扩张（2025年国内定制旅行市场规模超1,200亿元、同比+14%；2026暑期行业定制游预订人次同比超3倍）"</f>
        <v/>
      </c>
    </row>
    <row r="19" ht="50" customHeight="1">
      <c r="A19" s="5" t="n"/>
      <c r="B19" s="5" t="n"/>
      <c r="C19" s="2" t="inlineStr">
        <is>
          <t>当地定制</t>
        </is>
      </c>
      <c r="D19" s="6">
        <f>'测算底稿'!B62</f>
        <v/>
      </c>
      <c r="E19" s="6">
        <f>'测算底稿'!C62</f>
        <v/>
      </c>
      <c r="F19" s="6">
        <f>'测算底稿'!D62</f>
        <v/>
      </c>
      <c r="G19" s="6">
        <f>'测算底稿'!E62</f>
        <v/>
      </c>
      <c r="H19" s="7">
        <f>"人次"&amp;TEXT('测算底稿'!F62,"+0.0%;-0.0%;0.0%")&amp;"（"&amp;IF('测算底稿'!F62&gt;0.03,"增长",IF('测算底稿'!F62&lt;-0.03,"下降","基本持平"))&amp;"）。"&amp;"整体：国内游收客"&amp;TEXT('测算底稿'!F40,"+0%;-0%")&amp;"（零售与加盟门店向华中、华北、华东扩张，五一国内游出游人次+168%；国内业务基数小）。结构："&amp;"定制需求扩张，基数小"</f>
        <v/>
      </c>
    </row>
    <row r="21" ht="32" customHeight="1">
      <c r="A21" s="8" t="inlineStr">
        <is>
          <t>口径：仅众信国内团队游（不含出境、入境、会奖）。单位：订单均价为元/单（每单终端成交价），收客人次为人次；2026vs2025 按1–8月同期比较。依据与人均价附表见「口径说明」页。</t>
        </is>
      </c>
    </row>
  </sheetData>
  <mergeCells count="11">
    <mergeCell ref="B9:B10"/>
    <mergeCell ref="A21:H21"/>
    <mergeCell ref="B18:B19"/>
    <mergeCell ref="B7:B8"/>
    <mergeCell ref="B11:B13"/>
    <mergeCell ref="B16:B17"/>
    <mergeCell ref="B2:B4"/>
    <mergeCell ref="A2:A10"/>
    <mergeCell ref="A11:A19"/>
    <mergeCell ref="B5:B6"/>
    <mergeCell ref="B14:B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66" customWidth="1" min="10" max="10"/>
  </cols>
  <sheetData>
    <row r="1">
      <c r="A1" s="9" t="inlineStr">
        <is>
          <t>众信旅游(002707.SZ) 国内游调研表测算底稿</t>
        </is>
      </c>
    </row>
    <row r="2">
      <c r="A2" s="10" t="inlineStr">
        <is>
          <t>蓝字=公开披露输入｜黑字=公式｜黄底=分析假设（可改，统计表自动联动）｜金额：亿元，价格：元，人次：人次</t>
        </is>
      </c>
    </row>
    <row r="4">
      <c r="A4" s="11" t="inlineStr">
        <is>
          <t>A. 公开锚点（营业收入，亿元）</t>
        </is>
      </c>
      <c r="B4" s="11" t="inlineStr">
        <is>
          <t>2024全年</t>
        </is>
      </c>
      <c r="C4" s="11" t="inlineStr">
        <is>
          <t>2025全年</t>
        </is>
      </c>
      <c r="D4" s="11" t="inlineStr">
        <is>
          <t>2025H1</t>
        </is>
      </c>
      <c r="E4" s="11" t="inlineStr">
        <is>
          <t>2026H1</t>
        </is>
      </c>
      <c r="F4" s="11" t="inlineStr">
        <is>
          <t>2025同比</t>
        </is>
      </c>
      <c r="G4" s="11" t="inlineStr">
        <is>
          <t>2026H1同比</t>
        </is>
      </c>
      <c r="H4" s="11" t="inlineStr"/>
      <c r="I4" s="11" t="inlineStr"/>
      <c r="J4" s="11" t="inlineStr">
        <is>
          <t>来源</t>
        </is>
      </c>
    </row>
    <row r="5">
      <c r="A5" s="12" t="inlineStr">
        <is>
          <t>旅游批发</t>
        </is>
      </c>
      <c r="B5" s="13">
        <f>C5/(1+F5)</f>
        <v/>
      </c>
      <c r="C5" s="14" t="n">
        <v>50.28</v>
      </c>
      <c r="D5" s="13">
        <f>E5/(1+G5)</f>
        <v/>
      </c>
      <c r="E5" s="14" t="n">
        <v>19.79</v>
      </c>
      <c r="F5" s="15" t="n">
        <v>0.049</v>
      </c>
      <c r="G5" s="15" t="n">
        <v>-0.102</v>
      </c>
      <c r="J5" s="16" t="inlineStr">
        <is>
          <t>2025年报（2026-04-27）、2026中报（2026-08-28），经中新经纬、腾讯新闻等转述；2024与2025H1按披露同比反推</t>
        </is>
      </c>
    </row>
    <row r="6">
      <c r="A6" s="12" t="inlineStr">
        <is>
          <t>旅游零售</t>
        </is>
      </c>
      <c r="B6" s="13">
        <f>C6/(1+F6)</f>
        <v/>
      </c>
      <c r="C6" s="14" t="n">
        <v>9.26</v>
      </c>
      <c r="D6" s="13">
        <f>E6/(1+G6)</f>
        <v/>
      </c>
      <c r="E6" s="14" t="n">
        <v>4.77</v>
      </c>
      <c r="F6" s="15" t="n">
        <v>0.2413</v>
      </c>
      <c r="G6" s="15" t="n">
        <v>0.2066</v>
      </c>
      <c r="J6" s="16" t="inlineStr">
        <is>
          <t>同上</t>
        </is>
      </c>
    </row>
    <row r="7">
      <c r="A7" s="12" t="inlineStr">
        <is>
          <t>整合营销服务</t>
        </is>
      </c>
      <c r="B7" s="13">
        <f>C7/(1+F7)</f>
        <v/>
      </c>
      <c r="C7" s="14" t="n">
        <v>8.4</v>
      </c>
      <c r="D7" s="13">
        <f>E7/(1+G7)</f>
        <v/>
      </c>
      <c r="E7" s="14" t="n">
        <v>3.32</v>
      </c>
      <c r="F7" s="15" t="n">
        <v>-0.0348</v>
      </c>
      <c r="G7" s="15" t="n">
        <v>0.28</v>
      </c>
      <c r="J7" s="16" t="inlineStr">
        <is>
          <t>同上</t>
        </is>
      </c>
    </row>
    <row r="8">
      <c r="A8" s="12" t="inlineStr">
        <is>
          <t>营业总收入</t>
        </is>
      </c>
      <c r="B8" s="13">
        <f>C8/(1+F8)</f>
        <v/>
      </c>
      <c r="C8" s="14" t="n">
        <v>68.22</v>
      </c>
      <c r="D8" s="13">
        <f>E8/(1+G8)</f>
        <v/>
      </c>
      <c r="E8" s="14" t="n">
        <v>27.99</v>
      </c>
      <c r="F8" s="15" t="n">
        <v>0.0569</v>
      </c>
      <c r="G8" s="15" t="n">
        <v>-0.026</v>
      </c>
      <c r="J8" s="16" t="inlineStr">
        <is>
          <t>同上</t>
        </is>
      </c>
    </row>
    <row r="9">
      <c r="A9" s="12" t="inlineStr">
        <is>
          <t>其他收入（总收入−三项合计）</t>
        </is>
      </c>
      <c r="B9" s="13">
        <f>B8-SUM(B5:B7)</f>
        <v/>
      </c>
      <c r="C9" s="13">
        <f>C8-SUM(C5:C7)</f>
        <v/>
      </c>
      <c r="D9" s="13">
        <f>D8-SUM(D5:D7)</f>
        <v/>
      </c>
      <c r="E9" s="13">
        <f>E8-SUM(E5:E7)</f>
        <v/>
      </c>
      <c r="J9" s="16" t="inlineStr">
        <is>
          <t>分业务合计与总收入的差额，为未单列的其他收入，非口径矛盾</t>
        </is>
      </c>
    </row>
    <row r="10">
      <c r="A10" s="12" t="inlineStr">
        <is>
          <t>众信2026五一 国内游出游人次同比</t>
        </is>
      </c>
      <c r="C10" s="17" t="n">
        <v>1.68</v>
      </c>
      <c r="J10" s="16" t="inlineStr">
        <is>
          <t>众信旅游《2026年五一出游趋势报告》（2026-04-16，零售数据截至4/16）</t>
        </is>
      </c>
    </row>
    <row r="11">
      <c r="A11" s="12" t="inlineStr">
        <is>
          <t>众信2026五一 国内游GMV同比</t>
        </is>
      </c>
      <c r="C11" s="17" t="n">
        <v>0.38</v>
      </c>
      <c r="J11" s="16" t="inlineStr">
        <is>
          <t>同上。隐含国内游人均成交额 −49%：新增客源来自华中/华北/华东门店（五一出游人次分别+10倍/+9.8倍/+8倍），以短线、目的地参团为主</t>
        </is>
      </c>
    </row>
    <row r="12">
      <c r="A12" s="12" t="inlineStr">
        <is>
          <t>全国国内出游人均花费 同比</t>
        </is>
      </c>
      <c r="B12" s="18" t="n">
        <v>-0.057</v>
      </c>
      <c r="C12" s="18" t="n">
        <v>-0.032</v>
      </c>
      <c r="J12" s="16" t="inlineStr">
        <is>
          <t>文旅部：2025年出游65.22亿人次(+16.2%)、花费6.30万亿(+9.5%)；2026H1出游34.63亿(+5.4%)、花费3.21万亿(+2.0%)。B=2025全年，C=2026H1</t>
        </is>
      </c>
    </row>
    <row r="14">
      <c r="A14" s="11" t="inlineStr">
        <is>
          <t>B. 口径假设</t>
        </is>
      </c>
      <c r="B14" s="11" t="inlineStr">
        <is>
          <t>取值</t>
        </is>
      </c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>
        <is>
          <t>依据</t>
        </is>
      </c>
    </row>
    <row r="15">
      <c r="A15" s="12" t="inlineStr">
        <is>
          <t>批发渠道佣金率（同行价→终端成交价）</t>
        </is>
      </c>
      <c r="B15" s="19" t="n">
        <v>0.08</v>
      </c>
      <c r="J15" s="16" t="inlineStr">
        <is>
          <t>出境/国内批发给零售同行的常见返佣约5%–10%，取中值</t>
        </is>
      </c>
    </row>
    <row r="16">
      <c r="A16" s="12" t="inlineStr">
        <is>
          <t>7–8月占全年休闲成交额比例</t>
        </is>
      </c>
      <c r="B16" s="19" t="n">
        <v>0.26</v>
      </c>
      <c r="J16" s="16" t="inlineStr">
        <is>
          <t>2025上半年占全年约44%；暑期为出境与国内（新疆、西北、亲子）共同高峰</t>
        </is>
      </c>
    </row>
    <row r="17">
      <c r="A17" s="12" t="inlineStr">
        <is>
          <t>2026年7–8月休闲成交额同比</t>
        </is>
      </c>
      <c r="B17" s="20" t="n">
        <v>-0.04</v>
      </c>
      <c r="J17" s="16" t="inlineStr">
        <is>
          <t>2026H1休闲成交额约−5.8%；暑期出入境航线旅客+约3%、国内游需求稳增，部分对冲</t>
        </is>
      </c>
    </row>
    <row r="19">
      <c r="A19" s="11" t="inlineStr">
        <is>
          <t>C. 成交额（亿元）</t>
        </is>
      </c>
      <c r="B19" s="11" t="inlineStr">
        <is>
          <t>2024全年</t>
        </is>
      </c>
      <c r="C19" s="11" t="inlineStr">
        <is>
          <t>2025全年</t>
        </is>
      </c>
      <c r="D19" s="11" t="inlineStr">
        <is>
          <t>2025 1-8月</t>
        </is>
      </c>
      <c r="E19" s="11" t="inlineStr">
        <is>
          <t>2026 1-8月</t>
        </is>
      </c>
      <c r="F19" s="11" t="inlineStr"/>
      <c r="G19" s="11" t="inlineStr"/>
      <c r="H19" s="11" t="inlineStr"/>
      <c r="I19" s="11" t="inlineStr"/>
      <c r="J19" s="11" t="inlineStr">
        <is>
          <t>说明</t>
        </is>
      </c>
    </row>
    <row r="20">
      <c r="A20" s="12" t="inlineStr">
        <is>
          <t>上半年休闲终端成交额</t>
        </is>
      </c>
      <c r="D20" s="13">
        <f>D5/(1-$B$15)+D6</f>
        <v/>
      </c>
      <c r="E20" s="13">
        <f>E5/(1-$B$15)+E6</f>
        <v/>
      </c>
      <c r="J20" s="16" t="inlineStr">
        <is>
          <t>批发÷(1−佣金率)+零售；整合营销（会奖）不属于团队旅游产品，剔除</t>
        </is>
      </c>
    </row>
    <row r="21">
      <c r="A21" s="12" t="inlineStr">
        <is>
          <t>7–8月休闲终端成交额</t>
        </is>
      </c>
      <c r="D21" s="13">
        <f>C22*$B$16</f>
        <v/>
      </c>
      <c r="E21" s="13">
        <f>D21*(1+$B$17)</f>
        <v/>
      </c>
    </row>
    <row r="22">
      <c r="A22" s="12" t="inlineStr">
        <is>
          <t>休闲终端成交额（出境+国内）</t>
        </is>
      </c>
      <c r="B22" s="13">
        <f>B5/(1-$B$15)+B6</f>
        <v/>
      </c>
      <c r="C22" s="13">
        <f>C5/(1-$B$15)+C6</f>
        <v/>
      </c>
      <c r="D22" s="13">
        <f>D20+D21</f>
        <v/>
      </c>
      <c r="E22" s="13">
        <f>E20+E21</f>
        <v/>
      </c>
    </row>
    <row r="23" ht="66" customHeight="1">
      <c r="A23" s="12" t="inlineStr">
        <is>
          <t>⭐ 国内团队游占休闲成交额（核心假设）</t>
        </is>
      </c>
      <c r="B23" s="21" t="n">
        <v>0.045</v>
      </c>
      <c r="C23" s="21" t="n">
        <v>0.05</v>
      </c>
      <c r="D23" s="21" t="n">
        <v>0.05</v>
      </c>
      <c r="E23" s="21" t="n">
        <v>0.07000000000000001</v>
      </c>
      <c r="J23" s="16" t="inlineStr">
        <is>
          <t>⚠ 全表量级取决于这一行。公司从未披露国内游收入或人次（批发主体优耐德/全景为出境批发商）。推法：国内游主要经零售门店与悠哉网销售，按约占零售成交额30%、批发成交额1%估算，合计约5%。2026年上调至7%：五一国内游GMV+38%而同期休闲成交额下滑。访谈拿到真实占比后只需改这一行</t>
        </is>
      </c>
    </row>
    <row r="24">
      <c r="A24" s="12" t="inlineStr">
        <is>
          <t>国内团队游成交额</t>
        </is>
      </c>
      <c r="B24" s="13">
        <f>B22*B23</f>
        <v/>
      </c>
      <c r="C24" s="13">
        <f>C22*C23</f>
        <v/>
      </c>
      <c r="D24" s="13">
        <f>D22*D23</f>
        <v/>
      </c>
      <c r="E24" s="13">
        <f>E22*E23</f>
        <v/>
      </c>
      <c r="F24" s="22">
        <f>E24/D24-1</f>
        <v/>
      </c>
      <c r="J24" s="16" t="inlineStr">
        <is>
          <t>F列＝2026 1-8月对2025 1-8月；与众信五一国内游GMV+38%对照</t>
        </is>
      </c>
    </row>
    <row r="26" ht="42" customHeight="1">
      <c r="A26" s="11" t="inlineStr">
        <is>
          <t>D. 九类国内产品假设</t>
        </is>
      </c>
      <c r="B26" s="11" t="inlineStr">
        <is>
          <t>单均人数（人/单）</t>
        </is>
      </c>
      <c r="C26" s="11" t="inlineStr">
        <is>
          <t>人次占比 2024</t>
        </is>
      </c>
      <c r="D26" s="11" t="inlineStr">
        <is>
          <t>人次占比 2025</t>
        </is>
      </c>
      <c r="E26" s="11" t="inlineStr">
        <is>
          <t>人次占比 2026 1-8月</t>
        </is>
      </c>
      <c r="F26" s="11" t="inlineStr">
        <is>
          <t>人均价 2024（元）</t>
        </is>
      </c>
      <c r="G26" s="11" t="inlineStr">
        <is>
          <t>人均价 2025（元）</t>
        </is>
      </c>
      <c r="H26" s="11" t="inlineStr">
        <is>
          <t>人均价 2026 1-8月（元）</t>
        </is>
      </c>
      <c r="I26" s="11" t="inlineStr"/>
      <c r="J26" s="11" t="inlineStr">
        <is>
          <t>依据</t>
        </is>
      </c>
    </row>
    <row r="27">
      <c r="A27" s="12" t="inlineStr">
        <is>
          <t>含大交通散拼团-大车</t>
        </is>
      </c>
      <c r="B27" s="23" t="n">
        <v>2.2</v>
      </c>
      <c r="C27" s="24">
        <f>1-SUM(C28:C35)</f>
        <v/>
      </c>
      <c r="D27" s="24">
        <f>1-SUM(D28:D35)</f>
        <v/>
      </c>
      <c r="E27" s="24">
        <f>1-SUM(E28:E35)</f>
        <v/>
      </c>
      <c r="F27" s="25" t="n">
        <v>4700</v>
      </c>
      <c r="G27" s="25" t="n">
        <v>4500</v>
      </c>
      <c r="H27" s="25" t="n">
        <v>4000</v>
      </c>
      <c r="J27" s="16" t="inlineStr">
        <is>
          <t>出发地参团（含机票/高铁）大巴团，众信门店客群主要购买新疆、云南、广西、甘肃、贵州、海南等中长线。占比为残差。2026年均价下调：新开华中/华北门店以高铁可达的中短线为主</t>
        </is>
      </c>
    </row>
    <row r="28">
      <c r="A28" s="12" t="inlineStr">
        <is>
          <t>当地拼团多日游-大车</t>
        </is>
      </c>
      <c r="B28" s="23" t="n">
        <v>2.3</v>
      </c>
      <c r="C28" s="26" t="n">
        <v>0.2</v>
      </c>
      <c r="D28" s="26" t="n">
        <v>0.2</v>
      </c>
      <c r="E28" s="26" t="n">
        <v>0.21</v>
      </c>
      <c r="F28" s="25" t="n">
        <v>2300</v>
      </c>
      <c r="G28" s="25" t="n">
        <v>2200</v>
      </c>
      <c r="H28" s="25" t="n">
        <v>2100</v>
      </c>
      <c r="J28" s="16" t="inlineStr">
        <is>
          <t>目的地参团大巴团；参照同程九寨沟5天4晚2,180元/人</t>
        </is>
      </c>
    </row>
    <row r="29">
      <c r="A29" s="12" t="inlineStr">
        <is>
          <t>一日游</t>
        </is>
      </c>
      <c r="B29" s="23" t="n">
        <v>2.6</v>
      </c>
      <c r="C29" s="26" t="n">
        <v>0.12</v>
      </c>
      <c r="D29" s="26" t="n">
        <v>0.12</v>
      </c>
      <c r="E29" s="26" t="n">
        <v>0.14</v>
      </c>
      <c r="F29" s="25" t="n">
        <v>320</v>
      </c>
      <c r="G29" s="25" t="n">
        <v>300</v>
      </c>
      <c r="H29" s="25" t="n">
        <v>295</v>
      </c>
      <c r="J29" s="16" t="inlineStr">
        <is>
          <t>目的地一日游，标准化低价产品</t>
        </is>
      </c>
    </row>
    <row r="30">
      <c r="A30" s="12" t="inlineStr">
        <is>
          <t>含大交通散拼团-小车</t>
        </is>
      </c>
      <c r="B30" s="23" t="n">
        <v>2.3</v>
      </c>
      <c r="C30" s="26" t="n">
        <v>0.07000000000000001</v>
      </c>
      <c r="D30" s="26" t="n">
        <v>0.09</v>
      </c>
      <c r="E30" s="26" t="n">
        <v>0.11</v>
      </c>
      <c r="F30" s="25" t="n">
        <v>6800</v>
      </c>
      <c r="G30" s="25" t="n">
        <v>6500</v>
      </c>
      <c r="H30" s="25" t="n">
        <v>6300</v>
      </c>
      <c r="J30" s="16" t="inlineStr">
        <is>
          <t>出发地参团+7座/精品小团（如新疆喀纳斯、伊犁线），团费通常高于大巴团约两成以上</t>
        </is>
      </c>
    </row>
    <row r="31">
      <c r="A31" s="12" t="inlineStr">
        <is>
          <t>当地拼团-小车</t>
        </is>
      </c>
      <c r="B31" s="23" t="n">
        <v>2.4</v>
      </c>
      <c r="C31" s="26" t="n">
        <v>0.06</v>
      </c>
      <c r="D31" s="26" t="n">
        <v>0.08</v>
      </c>
      <c r="E31" s="26" t="n">
        <v>0.1</v>
      </c>
      <c r="F31" s="25" t="n">
        <v>3600</v>
      </c>
      <c r="G31" s="25" t="n">
        <v>3500</v>
      </c>
      <c r="H31" s="25" t="n">
        <v>3400</v>
      </c>
      <c r="J31" s="16" t="inlineStr">
        <is>
          <t>目的地小车拼团，新疆、云南、西北主流形态</t>
        </is>
      </c>
    </row>
    <row r="32">
      <c r="A32" s="12" t="inlineStr">
        <is>
          <t>含大交通私家团</t>
        </is>
      </c>
      <c r="B32" s="23" t="n">
        <v>3.3</v>
      </c>
      <c r="C32" s="26" t="n">
        <v>0.04</v>
      </c>
      <c r="D32" s="26" t="n">
        <v>0.05</v>
      </c>
      <c r="E32" s="26" t="n">
        <v>0.06</v>
      </c>
      <c r="F32" s="25" t="n">
        <v>8000</v>
      </c>
      <c r="G32" s="25" t="n">
        <v>7600</v>
      </c>
      <c r="H32" s="25" t="n">
        <v>7400</v>
      </c>
      <c r="J32" s="16" t="inlineStr">
        <is>
          <t>携程口径：出发地参团私家团人均&gt;5,000元（2020）；叠加中长线与服务升级</t>
        </is>
      </c>
    </row>
    <row r="33">
      <c r="A33" s="12" t="inlineStr">
        <is>
          <t>当地私家团</t>
        </is>
      </c>
      <c r="B33" s="23" t="n">
        <v>3.4</v>
      </c>
      <c r="C33" s="26" t="n">
        <v>0.03</v>
      </c>
      <c r="D33" s="26" t="n">
        <v>0.04</v>
      </c>
      <c r="E33" s="26" t="n">
        <v>0.05</v>
      </c>
      <c r="F33" s="25" t="n">
        <v>3100</v>
      </c>
      <c r="G33" s="25" t="n">
        <v>3000</v>
      </c>
      <c r="H33" s="25" t="n">
        <v>2950</v>
      </c>
      <c r="J33" s="16" t="inlineStr">
        <is>
          <t>携程口径：目的地参团私家团人均2,000–3,000元</t>
        </is>
      </c>
    </row>
    <row r="34">
      <c r="A34" s="12" t="inlineStr">
        <is>
          <t>含大交通定制</t>
        </is>
      </c>
      <c r="B34" s="23" t="n">
        <v>3.2</v>
      </c>
      <c r="C34" s="26" t="n">
        <v>0.02</v>
      </c>
      <c r="D34" s="26" t="n">
        <v>0.025</v>
      </c>
      <c r="E34" s="26" t="n">
        <v>0.035</v>
      </c>
      <c r="F34" s="25" t="n">
        <v>12500</v>
      </c>
      <c r="G34" s="25" t="n">
        <v>12000</v>
      </c>
      <c r="H34" s="25" t="n">
        <v>12000</v>
      </c>
      <c r="J34" s="16" t="inlineStr">
        <is>
          <t>定制游客单价约8,000–12,000元，为跟团游2–3倍</t>
        </is>
      </c>
    </row>
    <row r="35">
      <c r="A35" s="12" t="inlineStr">
        <is>
          <t>当地定制</t>
        </is>
      </c>
      <c r="B35" s="23" t="n">
        <v>3.2</v>
      </c>
      <c r="C35" s="26" t="n">
        <v>0.01</v>
      </c>
      <c r="D35" s="26" t="n">
        <v>0.015</v>
      </c>
      <c r="E35" s="26" t="n">
        <v>0.02</v>
      </c>
      <c r="F35" s="25" t="n">
        <v>6000</v>
      </c>
      <c r="G35" s="25" t="n">
        <v>6000</v>
      </c>
      <c r="H35" s="25" t="n">
        <v>6000</v>
      </c>
      <c r="J35" s="16" t="inlineStr">
        <is>
          <t>目的地包车/管家式定制</t>
        </is>
      </c>
    </row>
    <row r="36">
      <c r="A36" s="12" t="inlineStr">
        <is>
          <t>合计（校验=100%）</t>
        </is>
      </c>
      <c r="C36" s="24">
        <f>SUM(C27:C35)</f>
        <v/>
      </c>
      <c r="D36" s="24">
        <f>SUM(D27:D35)</f>
        <v/>
      </c>
      <c r="E36" s="24">
        <f>SUM(E27:E35)</f>
        <v/>
      </c>
    </row>
    <row r="38">
      <c r="A38" s="11" t="inlineStr">
        <is>
          <t>E. 产出</t>
        </is>
      </c>
      <c r="B38" s="11" t="inlineStr">
        <is>
          <t>2024全年</t>
        </is>
      </c>
      <c r="C38" s="11" t="inlineStr">
        <is>
          <t>2025全年</t>
        </is>
      </c>
      <c r="D38" s="11" t="inlineStr">
        <is>
          <t>2025 1-8月</t>
        </is>
      </c>
      <c r="E38" s="11" t="inlineStr">
        <is>
          <t>2026 1-8月</t>
        </is>
      </c>
      <c r="F38" s="11" t="inlineStr">
        <is>
          <t>2026vs2025 1-8月</t>
        </is>
      </c>
      <c r="G38" s="11" t="inlineStr"/>
      <c r="H38" s="11" t="inlineStr"/>
      <c r="I38" s="11" t="inlineStr"/>
      <c r="J38" s="11" t="inlineStr">
        <is>
          <t>说明</t>
        </is>
      </c>
    </row>
    <row r="39">
      <c r="A39" s="12" t="inlineStr">
        <is>
          <t>加权人均价（元/人）</t>
        </is>
      </c>
      <c r="B39" s="27">
        <f>SUMPRODUCT(C27:C35,F27:F35)</f>
        <v/>
      </c>
      <c r="C39" s="27">
        <f>SUMPRODUCT(D27:D35,G27:G35)</f>
        <v/>
      </c>
      <c r="D39" s="27">
        <f>SUMPRODUCT(D27:D35,G27:G35)</f>
        <v/>
      </c>
      <c r="E39" s="27">
        <f>SUMPRODUCT(E27:E35,H27:H35)</f>
        <v/>
      </c>
      <c r="F39" s="22">
        <f>E39/D39-1</f>
        <v/>
      </c>
      <c r="J39" s="16" t="inlineStr">
        <is>
          <t>与众信五一国内游人均−49%、全国人均花费−3.2%对照：方向一致，幅度取中间</t>
        </is>
      </c>
    </row>
    <row r="40">
      <c r="A40" s="12" t="inlineStr">
        <is>
          <t>九类国内产品总收客人次</t>
        </is>
      </c>
      <c r="B40" s="27">
        <f>B24*100000000/B39</f>
        <v/>
      </c>
      <c r="C40" s="27">
        <f>C24*100000000/C39</f>
        <v/>
      </c>
      <c r="D40" s="27">
        <f>D24*100000000/D39</f>
        <v/>
      </c>
      <c r="E40" s="27">
        <f>E24*100000000/E39</f>
        <v/>
      </c>
      <c r="F40" s="22">
        <f>E40/D40-1</f>
        <v/>
      </c>
      <c r="J40" s="16" t="inlineStr">
        <is>
          <t>＝国内团队游成交额÷加权人均价；与众信五一国内游人次+168%对照（节假日快照，全期增速应显著低于此）</t>
        </is>
      </c>
    </row>
    <row r="42">
      <c r="A42" s="28" t="inlineStr">
        <is>
          <t>订单均价（元/单）</t>
        </is>
      </c>
    </row>
    <row r="43">
      <c r="A43" s="12" t="inlineStr">
        <is>
          <t>含大交通散拼团-大车</t>
        </is>
      </c>
      <c r="B43" s="27">
        <f>ROUND(F27*$B27,0)</f>
        <v/>
      </c>
      <c r="C43" s="27">
        <f>ROUND(G27*$B27,0)</f>
        <v/>
      </c>
      <c r="D43" s="27">
        <f>ROUND(G27*$B27,0)</f>
        <v/>
      </c>
      <c r="E43" s="27">
        <f>ROUND(H27*$B27,0)</f>
        <v/>
      </c>
      <c r="F43" s="29">
        <f>E43/D43-1</f>
        <v/>
      </c>
    </row>
    <row r="44">
      <c r="A44" s="12" t="inlineStr">
        <is>
          <t>当地拼团多日游-大车</t>
        </is>
      </c>
      <c r="B44" s="27">
        <f>ROUND(F28*$B28,0)</f>
        <v/>
      </c>
      <c r="C44" s="27">
        <f>ROUND(G28*$B28,0)</f>
        <v/>
      </c>
      <c r="D44" s="27">
        <f>ROUND(G28*$B28,0)</f>
        <v/>
      </c>
      <c r="E44" s="27">
        <f>ROUND(H28*$B28,0)</f>
        <v/>
      </c>
      <c r="F44" s="29">
        <f>E44/D44-1</f>
        <v/>
      </c>
    </row>
    <row r="45">
      <c r="A45" s="12" t="inlineStr">
        <is>
          <t>一日游</t>
        </is>
      </c>
      <c r="B45" s="27">
        <f>ROUND(F29*$B29,0)</f>
        <v/>
      </c>
      <c r="C45" s="27">
        <f>ROUND(G29*$B29,0)</f>
        <v/>
      </c>
      <c r="D45" s="27">
        <f>ROUND(G29*$B29,0)</f>
        <v/>
      </c>
      <c r="E45" s="27">
        <f>ROUND(H29*$B29,0)</f>
        <v/>
      </c>
      <c r="F45" s="29">
        <f>E45/D45-1</f>
        <v/>
      </c>
    </row>
    <row r="46">
      <c r="A46" s="12" t="inlineStr">
        <is>
          <t>含大交通散拼团-小车</t>
        </is>
      </c>
      <c r="B46" s="27">
        <f>ROUND(F30*$B30,0)</f>
        <v/>
      </c>
      <c r="C46" s="27">
        <f>ROUND(G30*$B30,0)</f>
        <v/>
      </c>
      <c r="D46" s="27">
        <f>ROUND(G30*$B30,0)</f>
        <v/>
      </c>
      <c r="E46" s="27">
        <f>ROUND(H30*$B30,0)</f>
        <v/>
      </c>
      <c r="F46" s="29">
        <f>E46/D46-1</f>
        <v/>
      </c>
    </row>
    <row r="47">
      <c r="A47" s="12" t="inlineStr">
        <is>
          <t>当地拼团-小车</t>
        </is>
      </c>
      <c r="B47" s="27">
        <f>ROUND(F31*$B31,0)</f>
        <v/>
      </c>
      <c r="C47" s="27">
        <f>ROUND(G31*$B31,0)</f>
        <v/>
      </c>
      <c r="D47" s="27">
        <f>ROUND(G31*$B31,0)</f>
        <v/>
      </c>
      <c r="E47" s="27">
        <f>ROUND(H31*$B31,0)</f>
        <v/>
      </c>
      <c r="F47" s="29">
        <f>E47/D47-1</f>
        <v/>
      </c>
    </row>
    <row r="48">
      <c r="A48" s="12" t="inlineStr">
        <is>
          <t>含大交通私家团</t>
        </is>
      </c>
      <c r="B48" s="27">
        <f>ROUND(F32*$B32,0)</f>
        <v/>
      </c>
      <c r="C48" s="27">
        <f>ROUND(G32*$B32,0)</f>
        <v/>
      </c>
      <c r="D48" s="27">
        <f>ROUND(G32*$B32,0)</f>
        <v/>
      </c>
      <c r="E48" s="27">
        <f>ROUND(H32*$B32,0)</f>
        <v/>
      </c>
      <c r="F48" s="29">
        <f>E48/D48-1</f>
        <v/>
      </c>
    </row>
    <row r="49">
      <c r="A49" s="12" t="inlineStr">
        <is>
          <t>当地私家团</t>
        </is>
      </c>
      <c r="B49" s="27">
        <f>ROUND(F33*$B33,0)</f>
        <v/>
      </c>
      <c r="C49" s="27">
        <f>ROUND(G33*$B33,0)</f>
        <v/>
      </c>
      <c r="D49" s="27">
        <f>ROUND(G33*$B33,0)</f>
        <v/>
      </c>
      <c r="E49" s="27">
        <f>ROUND(H33*$B33,0)</f>
        <v/>
      </c>
      <c r="F49" s="29">
        <f>E49/D49-1</f>
        <v/>
      </c>
    </row>
    <row r="50">
      <c r="A50" s="12" t="inlineStr">
        <is>
          <t>含大交通定制</t>
        </is>
      </c>
      <c r="B50" s="27">
        <f>ROUND(F34*$B34,0)</f>
        <v/>
      </c>
      <c r="C50" s="27">
        <f>ROUND(G34*$B34,0)</f>
        <v/>
      </c>
      <c r="D50" s="27">
        <f>ROUND(G34*$B34,0)</f>
        <v/>
      </c>
      <c r="E50" s="27">
        <f>ROUND(H34*$B34,0)</f>
        <v/>
      </c>
      <c r="F50" s="29">
        <f>E50/D50-1</f>
        <v/>
      </c>
    </row>
    <row r="51">
      <c r="A51" s="12" t="inlineStr">
        <is>
          <t>当地定制</t>
        </is>
      </c>
      <c r="B51" s="27">
        <f>ROUND(F35*$B35,0)</f>
        <v/>
      </c>
      <c r="C51" s="27">
        <f>ROUND(G35*$B35,0)</f>
        <v/>
      </c>
      <c r="D51" s="27">
        <f>ROUND(G35*$B35,0)</f>
        <v/>
      </c>
      <c r="E51" s="27">
        <f>ROUND(H35*$B35,0)</f>
        <v/>
      </c>
      <c r="F51" s="29">
        <f>E51/D51-1</f>
        <v/>
      </c>
    </row>
    <row r="53">
      <c r="A53" s="28" t="inlineStr">
        <is>
          <t>收客人次（人次，取整到百）</t>
        </is>
      </c>
    </row>
    <row r="54">
      <c r="A54" s="12" t="inlineStr">
        <is>
          <t>含大交通散拼团-大车</t>
        </is>
      </c>
      <c r="B54" s="27">
        <f>ROUND(B$40*C27,-2)</f>
        <v/>
      </c>
      <c r="C54" s="27">
        <f>ROUND(C$40*D27,-2)</f>
        <v/>
      </c>
      <c r="D54" s="27">
        <f>ROUND(D$40*D27,-2)</f>
        <v/>
      </c>
      <c r="E54" s="27">
        <f>ROUND(E$40*E27,-2)</f>
        <v/>
      </c>
      <c r="F54" s="29">
        <f>(E$40*E27)/(D$40*D27)-1</f>
        <v/>
      </c>
    </row>
    <row r="55">
      <c r="A55" s="12" t="inlineStr">
        <is>
          <t>当地拼团多日游-大车</t>
        </is>
      </c>
      <c r="B55" s="27">
        <f>ROUND(B$40*C28,-2)</f>
        <v/>
      </c>
      <c r="C55" s="27">
        <f>ROUND(C$40*D28,-2)</f>
        <v/>
      </c>
      <c r="D55" s="27">
        <f>ROUND(D$40*D28,-2)</f>
        <v/>
      </c>
      <c r="E55" s="27">
        <f>ROUND(E$40*E28,-2)</f>
        <v/>
      </c>
      <c r="F55" s="29">
        <f>(E$40*E28)/(D$40*D28)-1</f>
        <v/>
      </c>
    </row>
    <row r="56">
      <c r="A56" s="12" t="inlineStr">
        <is>
          <t>一日游</t>
        </is>
      </c>
      <c r="B56" s="27">
        <f>ROUND(B$40*C29,-2)</f>
        <v/>
      </c>
      <c r="C56" s="27">
        <f>ROUND(C$40*D29,-2)</f>
        <v/>
      </c>
      <c r="D56" s="27">
        <f>ROUND(D$40*D29,-2)</f>
        <v/>
      </c>
      <c r="E56" s="27">
        <f>ROUND(E$40*E29,-2)</f>
        <v/>
      </c>
      <c r="F56" s="29">
        <f>(E$40*E29)/(D$40*D29)-1</f>
        <v/>
      </c>
    </row>
    <row r="57">
      <c r="A57" s="12" t="inlineStr">
        <is>
          <t>含大交通散拼团-小车</t>
        </is>
      </c>
      <c r="B57" s="27">
        <f>ROUND(B$40*C30,-2)</f>
        <v/>
      </c>
      <c r="C57" s="27">
        <f>ROUND(C$40*D30,-2)</f>
        <v/>
      </c>
      <c r="D57" s="27">
        <f>ROUND(D$40*D30,-2)</f>
        <v/>
      </c>
      <c r="E57" s="27">
        <f>ROUND(E$40*E30,-2)</f>
        <v/>
      </c>
      <c r="F57" s="29">
        <f>(E$40*E30)/(D$40*D30)-1</f>
        <v/>
      </c>
    </row>
    <row r="58">
      <c r="A58" s="12" t="inlineStr">
        <is>
          <t>当地拼团-小车</t>
        </is>
      </c>
      <c r="B58" s="27">
        <f>ROUND(B$40*C31,-2)</f>
        <v/>
      </c>
      <c r="C58" s="27">
        <f>ROUND(C$40*D31,-2)</f>
        <v/>
      </c>
      <c r="D58" s="27">
        <f>ROUND(D$40*D31,-2)</f>
        <v/>
      </c>
      <c r="E58" s="27">
        <f>ROUND(E$40*E31,-2)</f>
        <v/>
      </c>
      <c r="F58" s="29">
        <f>(E$40*E31)/(D$40*D31)-1</f>
        <v/>
      </c>
    </row>
    <row r="59">
      <c r="A59" s="12" t="inlineStr">
        <is>
          <t>含大交通私家团</t>
        </is>
      </c>
      <c r="B59" s="27">
        <f>ROUND(B$40*C32,-2)</f>
        <v/>
      </c>
      <c r="C59" s="27">
        <f>ROUND(C$40*D32,-2)</f>
        <v/>
      </c>
      <c r="D59" s="27">
        <f>ROUND(D$40*D32,-2)</f>
        <v/>
      </c>
      <c r="E59" s="27">
        <f>ROUND(E$40*E32,-2)</f>
        <v/>
      </c>
      <c r="F59" s="29">
        <f>(E$40*E32)/(D$40*D32)-1</f>
        <v/>
      </c>
    </row>
    <row r="60">
      <c r="A60" s="12" t="inlineStr">
        <is>
          <t>当地私家团</t>
        </is>
      </c>
      <c r="B60" s="27">
        <f>ROUND(B$40*C33,-2)</f>
        <v/>
      </c>
      <c r="C60" s="27">
        <f>ROUND(C$40*D33,-2)</f>
        <v/>
      </c>
      <c r="D60" s="27">
        <f>ROUND(D$40*D33,-2)</f>
        <v/>
      </c>
      <c r="E60" s="27">
        <f>ROUND(E$40*E33,-2)</f>
        <v/>
      </c>
      <c r="F60" s="29">
        <f>(E$40*E33)/(D$40*D33)-1</f>
        <v/>
      </c>
    </row>
    <row r="61">
      <c r="A61" s="12" t="inlineStr">
        <is>
          <t>含大交通定制</t>
        </is>
      </c>
      <c r="B61" s="27">
        <f>ROUND(B$40*C34,-2)</f>
        <v/>
      </c>
      <c r="C61" s="27">
        <f>ROUND(C$40*D34,-2)</f>
        <v/>
      </c>
      <c r="D61" s="27">
        <f>ROUND(D$40*D34,-2)</f>
        <v/>
      </c>
      <c r="E61" s="27">
        <f>ROUND(E$40*E34,-2)</f>
        <v/>
      </c>
      <c r="F61" s="29">
        <f>(E$40*E34)/(D$40*D34)-1</f>
        <v/>
      </c>
    </row>
    <row r="62">
      <c r="A62" s="12" t="inlineStr">
        <is>
          <t>当地定制</t>
        </is>
      </c>
      <c r="B62" s="27">
        <f>ROUND(B$40*C35,-2)</f>
        <v/>
      </c>
      <c r="C62" s="27">
        <f>ROUND(C$40*D35,-2)</f>
        <v/>
      </c>
      <c r="D62" s="27">
        <f>ROUND(D$40*D35,-2)</f>
        <v/>
      </c>
      <c r="E62" s="27">
        <f>ROUND(E$40*E35,-2)</f>
        <v/>
      </c>
      <c r="F62" s="29">
        <f>(E$40*E35)/(D$40*D35)-1</f>
        <v/>
      </c>
    </row>
    <row r="64">
      <c r="A64" s="11" t="inlineStr">
        <is>
          <t>F. 校验</t>
        </is>
      </c>
      <c r="B64" s="11" t="inlineStr">
        <is>
          <t>2024全年</t>
        </is>
      </c>
      <c r="C64" s="11" t="inlineStr">
        <is>
          <t>2025全年</t>
        </is>
      </c>
      <c r="D64" s="11" t="inlineStr">
        <is>
          <t>2025 1-8月</t>
        </is>
      </c>
      <c r="E64" s="11" t="inlineStr">
        <is>
          <t>2026 1-8月</t>
        </is>
      </c>
      <c r="F64" s="11" t="inlineStr"/>
      <c r="G64" s="11" t="inlineStr"/>
      <c r="H64" s="11" t="inlineStr"/>
      <c r="I64" s="11" t="inlineStr"/>
      <c r="J64" s="11" t="inlineStr">
        <is>
          <t>判读</t>
        </is>
      </c>
    </row>
    <row r="65">
      <c r="A65" s="12" t="inlineStr">
        <is>
          <t>Σ人次×人均价 ÷ 国内成交额（应≈100%）</t>
        </is>
      </c>
      <c r="B65" s="30">
        <f>SUMPRODUCT(B54:B62,F27:F35)/(B24*100000000)</f>
        <v/>
      </c>
      <c r="C65" s="30">
        <f>SUMPRODUCT(C54:C62,G27:G35)/(C24*100000000)</f>
        <v/>
      </c>
      <c r="D65" s="30">
        <f>SUMPRODUCT(D54:D62,G27:G35)/(D24*100000000)</f>
        <v/>
      </c>
      <c r="E65" s="30">
        <f>SUMPRODUCT(E54:E62,H27:H35)/(E24*100000000)</f>
        <v/>
      </c>
      <c r="J65" s="16" t="inlineStr">
        <is>
          <t>人次取整到百带来的误差</t>
        </is>
      </c>
    </row>
    <row r="66">
      <c r="A66" s="12" t="inlineStr">
        <is>
          <t>1–8月占全年（2025）</t>
        </is>
      </c>
      <c r="D66" s="24">
        <f>D40/C40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60" customWidth="1" min="6" max="6"/>
  </cols>
  <sheetData>
    <row r="1">
      <c r="A1" s="31" t="inlineStr">
        <is>
          <t>众信旅游（002707.SZ）国内游调研表 · 填写口径与依据</t>
        </is>
      </c>
    </row>
    <row r="3">
      <c r="A3" s="32" t="inlineStr">
        <is>
          <t>一、口径</t>
        </is>
      </c>
    </row>
    <row r="4" ht="40" customHeight="1">
      <c r="A4" s="33" t="inlineStr">
        <is>
          <t>范围</t>
        </is>
      </c>
      <c r="B4" s="34" t="inlineStr">
        <is>
          <t>仅众信国内团队游产品。不含出境游、入境接待、会奖（众信博睿）及签证、机票等单项服务。</t>
        </is>
      </c>
    </row>
    <row r="5" ht="40" customHeight="1">
      <c r="A5" s="33" t="inlineStr">
        <is>
          <t>含大交通 / 当地</t>
        </is>
      </c>
      <c r="B5" s="34" t="inlineStr">
        <is>
          <t>含大交通＝出发地参团（含往返机票或高铁）；当地＝目的地参团（游客自行抵达后参团）。大车＝大巴团，小车＝7座等小车拼团。</t>
        </is>
      </c>
    </row>
    <row r="6" ht="40" customHeight="1">
      <c r="A6" s="33" t="inlineStr">
        <is>
          <t>订单均价</t>
        </is>
      </c>
      <c r="B6" s="34" t="inlineStr">
        <is>
          <t>每单终端成交价（元/单）。一单平均2.2–3.4人（拼团约2.3人，私家团/定制约3.3人）。若贵方口径为「人均价」，见第四部分附表。</t>
        </is>
      </c>
    </row>
    <row r="7" ht="40" customHeight="1">
      <c r="A7" s="33" t="inlineStr">
        <is>
          <t>波动原因</t>
        </is>
      </c>
      <c r="B7" s="34" t="inlineStr">
        <is>
          <t>比较口径为2026年1–8月对2025年1–8月；方向词按涨跌幅自动生成（&gt;+3%增长、&lt;−3%下降、其余基本持平）。</t>
        </is>
      </c>
    </row>
    <row r="8" ht="40" customHeight="1">
      <c r="A8" s="33" t="inlineStr">
        <is>
          <t>产品名称</t>
        </is>
      </c>
      <c r="B8" s="34" t="inlineStr">
        <is>
          <t>「当地拼团-小车」（均价行）与「当地拼团多日游-小车」（人次行）按同一类产品处理。</t>
        </is>
      </c>
    </row>
    <row r="9">
      <c r="A9" s="32" t="inlineStr">
        <is>
          <t>二、数据性质与可信度</t>
        </is>
      </c>
    </row>
    <row r="10" ht="40" customHeight="1">
      <c r="A10" s="33" t="inlineStr">
        <is>
          <t>数据性质</t>
        </is>
      </c>
      <c r="B10" s="34" t="inlineStr">
        <is>
          <t>众信从未单独披露国内游收入、人次或产品结构，也不披露月度数据。本表以公开财报收入为总盘子，按国内游占比拆出国内部分，再按行业价格带与产品结构推算。</t>
        </is>
      </c>
    </row>
    <row r="11" ht="40" customHeight="1">
      <c r="A11" s="33" t="inlineStr">
        <is>
          <t>订单均价</t>
        </is>
      </c>
      <c r="B11" s="34" t="inlineStr">
        <is>
          <t>中等可信：锚定国内跟团游公开价格带（目的地大巴团约2,000–2,300元/人，携程私家团人均&gt;3,500元，定制8,000–12,000元）。</t>
        </is>
      </c>
    </row>
    <row r="12" ht="40" customHeight="1">
      <c r="A12" s="33" t="inlineStr">
        <is>
          <t>收客人次</t>
        </is>
      </c>
      <c r="B12" s="34" t="inlineStr">
        <is>
          <t>较低可信。全部人次的量级取决于一个假设——国内团队游占众信休闲成交额的比例（2025年取5%、2026年1–8月取7%）。该比例公司从未披露，是全表最大的不确定来源；访谈拿到真实比例后，可据此对全表人次整体重算。</t>
        </is>
      </c>
    </row>
    <row r="13" ht="40" customHeight="1">
      <c r="A13" s="33" t="inlineStr">
        <is>
          <t>交叉验证</t>
        </is>
      </c>
      <c r="B13" s="34">
        <f>"众信2026五一：国内游出游人次+168%、GMV+38%（隐含人均−49%）。本表2026年1–8月人次"&amp;TEXT('测算底稿'!F40,"+0%;-0%")&amp;"、成交额"&amp;TEXT('测算底稿'!F24,"+0%;-0%")&amp;"、人均"&amp;TEXT('测算底稿'!F39,"+0%;-0%")&amp;"，方向一致；全期增速低于节假日快照，符合预期。"</f>
        <v/>
      </c>
    </row>
    <row r="15">
      <c r="A15" s="32" t="inlineStr">
        <is>
          <t>三、公开锚点</t>
        </is>
      </c>
    </row>
    <row r="16">
      <c r="A16" s="35" t="inlineStr">
        <is>
          <t>项目</t>
        </is>
      </c>
      <c r="B16" s="35" t="inlineStr">
        <is>
          <t>2024全年</t>
        </is>
      </c>
      <c r="C16" s="35" t="inlineStr">
        <is>
          <t>2025全年</t>
        </is>
      </c>
      <c r="D16" s="35" t="inlineStr">
        <is>
          <t>2025上半年</t>
        </is>
      </c>
      <c r="E16" s="35" t="inlineStr">
        <is>
          <t>2026上半年</t>
        </is>
      </c>
      <c r="F16" s="35" t="inlineStr">
        <is>
          <t>来源</t>
        </is>
      </c>
    </row>
    <row r="17">
      <c r="A17" s="36" t="inlineStr">
        <is>
          <t>众信 旅游批发（亿元）</t>
        </is>
      </c>
      <c r="B17" s="37">
        <f>'测算底稿'!B5</f>
        <v/>
      </c>
      <c r="C17" s="37">
        <f>'测算底稿'!C5</f>
        <v/>
      </c>
      <c r="D17" s="37">
        <f>'测算底稿'!D5</f>
        <v/>
      </c>
      <c r="E17" s="37">
        <f>'测算底稿'!E5</f>
        <v/>
      </c>
      <c r="F17" s="38" t="inlineStr">
        <is>
          <t>2025年报、2026中报（经中新经纬、腾讯新闻等转述）；2024与2025上半年按披露同比反推</t>
        </is>
      </c>
    </row>
    <row r="18">
      <c r="A18" s="36" t="inlineStr">
        <is>
          <t>众信 旅游零售（亿元）</t>
        </is>
      </c>
      <c r="B18" s="37">
        <f>'测算底稿'!B6</f>
        <v/>
      </c>
      <c r="C18" s="37">
        <f>'测算底稿'!C6</f>
        <v/>
      </c>
      <c r="D18" s="37">
        <f>'测算底稿'!D6</f>
        <v/>
      </c>
      <c r="E18" s="37">
        <f>'测算底稿'!E6</f>
        <v/>
      </c>
      <c r="F18" s="38" t="inlineStr">
        <is>
          <t>同上</t>
        </is>
      </c>
    </row>
    <row r="19">
      <c r="A19" s="36" t="inlineStr">
        <is>
          <t>众信 整合营销服务（亿元）</t>
        </is>
      </c>
      <c r="B19" s="37">
        <f>'测算底稿'!B7</f>
        <v/>
      </c>
      <c r="C19" s="37">
        <f>'测算底稿'!C7</f>
        <v/>
      </c>
      <c r="D19" s="37">
        <f>'测算底稿'!D7</f>
        <v/>
      </c>
      <c r="E19" s="37">
        <f>'测算底稿'!E7</f>
        <v/>
      </c>
      <c r="F19" s="38" t="inlineStr">
        <is>
          <t>同上</t>
        </is>
      </c>
    </row>
    <row r="20">
      <c r="A20" s="36" t="inlineStr">
        <is>
          <t>众信 营业总收入（亿元）</t>
        </is>
      </c>
      <c r="B20" s="37">
        <f>'测算底稿'!B8</f>
        <v/>
      </c>
      <c r="C20" s="37">
        <f>'测算底稿'!C8</f>
        <v/>
      </c>
      <c r="D20" s="37">
        <f>'测算底稿'!D8</f>
        <v/>
      </c>
      <c r="E20" s="37">
        <f>'测算底稿'!E8</f>
        <v/>
      </c>
      <c r="F20" s="38" t="inlineStr">
        <is>
          <t>同上</t>
        </is>
      </c>
    </row>
    <row r="21">
      <c r="A21" s="36" t="inlineStr">
        <is>
          <t>众信 其他收入（亿元）</t>
        </is>
      </c>
      <c r="B21" s="37">
        <f>'测算底稿'!B9</f>
        <v/>
      </c>
      <c r="C21" s="37">
        <f>'测算底稿'!C9</f>
        <v/>
      </c>
      <c r="D21" s="37">
        <f>'测算底稿'!D9</f>
        <v/>
      </c>
      <c r="E21" s="37">
        <f>'测算底稿'!E9</f>
        <v/>
      </c>
      <c r="F21" s="38" t="inlineStr">
        <is>
          <t>分业务合计与总收入的差额，为未单列的其他收入</t>
        </is>
      </c>
    </row>
    <row r="22" ht="30" customHeight="1">
      <c r="A22" s="36" t="inlineStr">
        <is>
          <t>全国国内出游人次</t>
        </is>
      </c>
      <c r="B22" s="34" t="inlineStr">
        <is>
          <t>2024 56.15亿｜2025 65.22亿(+16.2%)｜2026H1 34.63亿(+5.4%)</t>
        </is>
      </c>
      <c r="F22" s="38" t="inlineStr">
        <is>
          <t>文化和旅游部（2026-01-26、2026-08-07发布）</t>
        </is>
      </c>
    </row>
    <row r="23" ht="30" customHeight="1">
      <c r="A23" s="36" t="inlineStr">
        <is>
          <t>全国国内出游花费</t>
        </is>
      </c>
      <c r="B23" s="34" t="inlineStr">
        <is>
          <t>2024 5.75万亿｜2025 6.30万亿(+9.5%)｜2026H1 3.21万亿(+2.0%)</t>
        </is>
      </c>
      <c r="F23" s="38" t="inlineStr">
        <is>
          <t>同上；人均花费2025−5.7%、2026H1−3.2%</t>
        </is>
      </c>
    </row>
    <row r="24" ht="30" customHeight="1">
      <c r="A24" s="36" t="inlineStr">
        <is>
          <t>众信2026五一 国内游</t>
        </is>
      </c>
      <c r="B24" s="34" t="inlineStr">
        <is>
          <t>出游人次+168%，GMV+38%；新疆、广东、云南领跑</t>
        </is>
      </c>
      <c r="F24" s="38" t="inlineStr">
        <is>
          <t>众信旅游《2026年五一出游趋势报告》（2026-04-16）</t>
        </is>
      </c>
    </row>
    <row r="25" ht="30" customHeight="1">
      <c r="A25" s="36" t="inlineStr">
        <is>
          <t>众信2025五一 国内热门</t>
        </is>
      </c>
      <c r="B25" s="34" t="inlineStr">
        <is>
          <t>广西、甘肃、云南、贵州、海南</t>
        </is>
      </c>
      <c r="F25" s="38" t="inlineStr">
        <is>
          <t>众信旅游集团五一出游趋势报告（2025-04）</t>
        </is>
      </c>
    </row>
    <row r="27">
      <c r="A27" s="32" t="inlineStr">
        <is>
          <t>四、附表：人均价（元/人）</t>
        </is>
      </c>
    </row>
    <row r="28">
      <c r="A28" s="35" t="inlineStr">
        <is>
          <t>产品</t>
        </is>
      </c>
      <c r="B28" s="35" t="inlineStr">
        <is>
          <t>2024全年</t>
        </is>
      </c>
      <c r="C28" s="35" t="inlineStr">
        <is>
          <t>2025全年</t>
        </is>
      </c>
      <c r="D28" s="35" t="inlineStr">
        <is>
          <t>2025 1-8月</t>
        </is>
      </c>
      <c r="E28" s="35" t="inlineStr">
        <is>
          <t>2026 1-8月</t>
        </is>
      </c>
      <c r="F28" s="35" t="inlineStr">
        <is>
          <t>单均人数（人/单）</t>
        </is>
      </c>
    </row>
    <row r="29">
      <c r="A29" s="36" t="inlineStr">
        <is>
          <t>含大交通散拼团-大车</t>
        </is>
      </c>
      <c r="B29" s="39">
        <f>'测算底稿'!F27</f>
        <v/>
      </c>
      <c r="C29" s="39">
        <f>'测算底稿'!G27</f>
        <v/>
      </c>
      <c r="D29" s="39">
        <f>'测算底稿'!G27</f>
        <v/>
      </c>
      <c r="E29" s="39">
        <f>'测算底稿'!H27</f>
        <v/>
      </c>
      <c r="F29" s="40">
        <f>'测算底稿'!B27</f>
        <v/>
      </c>
    </row>
    <row r="30">
      <c r="A30" s="36" t="inlineStr">
        <is>
          <t>当地拼团多日游-大车</t>
        </is>
      </c>
      <c r="B30" s="39">
        <f>'测算底稿'!F28</f>
        <v/>
      </c>
      <c r="C30" s="39">
        <f>'测算底稿'!G28</f>
        <v/>
      </c>
      <c r="D30" s="39">
        <f>'测算底稿'!G28</f>
        <v/>
      </c>
      <c r="E30" s="39">
        <f>'测算底稿'!H28</f>
        <v/>
      </c>
      <c r="F30" s="40">
        <f>'测算底稿'!B28</f>
        <v/>
      </c>
    </row>
    <row r="31">
      <c r="A31" s="36" t="inlineStr">
        <is>
          <t>一日游</t>
        </is>
      </c>
      <c r="B31" s="39">
        <f>'测算底稿'!F29</f>
        <v/>
      </c>
      <c r="C31" s="39">
        <f>'测算底稿'!G29</f>
        <v/>
      </c>
      <c r="D31" s="39">
        <f>'测算底稿'!G29</f>
        <v/>
      </c>
      <c r="E31" s="39">
        <f>'测算底稿'!H29</f>
        <v/>
      </c>
      <c r="F31" s="40">
        <f>'测算底稿'!B29</f>
        <v/>
      </c>
    </row>
    <row r="32">
      <c r="A32" s="36" t="inlineStr">
        <is>
          <t>含大交通散拼团-小车</t>
        </is>
      </c>
      <c r="B32" s="39">
        <f>'测算底稿'!F30</f>
        <v/>
      </c>
      <c r="C32" s="39">
        <f>'测算底稿'!G30</f>
        <v/>
      </c>
      <c r="D32" s="39">
        <f>'测算底稿'!G30</f>
        <v/>
      </c>
      <c r="E32" s="39">
        <f>'测算底稿'!H30</f>
        <v/>
      </c>
      <c r="F32" s="40">
        <f>'测算底稿'!B30</f>
        <v/>
      </c>
    </row>
    <row r="33">
      <c r="A33" s="36" t="inlineStr">
        <is>
          <t>当地拼团-小车</t>
        </is>
      </c>
      <c r="B33" s="39">
        <f>'测算底稿'!F31</f>
        <v/>
      </c>
      <c r="C33" s="39">
        <f>'测算底稿'!G31</f>
        <v/>
      </c>
      <c r="D33" s="39">
        <f>'测算底稿'!G31</f>
        <v/>
      </c>
      <c r="E33" s="39">
        <f>'测算底稿'!H31</f>
        <v/>
      </c>
      <c r="F33" s="40">
        <f>'测算底稿'!B31</f>
        <v/>
      </c>
    </row>
    <row r="34">
      <c r="A34" s="36" t="inlineStr">
        <is>
          <t>含大交通私家团</t>
        </is>
      </c>
      <c r="B34" s="39">
        <f>'测算底稿'!F32</f>
        <v/>
      </c>
      <c r="C34" s="39">
        <f>'测算底稿'!G32</f>
        <v/>
      </c>
      <c r="D34" s="39">
        <f>'测算底稿'!G32</f>
        <v/>
      </c>
      <c r="E34" s="39">
        <f>'测算底稿'!H32</f>
        <v/>
      </c>
      <c r="F34" s="40">
        <f>'测算底稿'!B32</f>
        <v/>
      </c>
    </row>
    <row r="35">
      <c r="A35" s="36" t="inlineStr">
        <is>
          <t>当地私家团</t>
        </is>
      </c>
      <c r="B35" s="39">
        <f>'测算底稿'!F33</f>
        <v/>
      </c>
      <c r="C35" s="39">
        <f>'测算底稿'!G33</f>
        <v/>
      </c>
      <c r="D35" s="39">
        <f>'测算底稿'!G33</f>
        <v/>
      </c>
      <c r="E35" s="39">
        <f>'测算底稿'!H33</f>
        <v/>
      </c>
      <c r="F35" s="40">
        <f>'测算底稿'!B33</f>
        <v/>
      </c>
    </row>
    <row r="36">
      <c r="A36" s="36" t="inlineStr">
        <is>
          <t>含大交通定制</t>
        </is>
      </c>
      <c r="B36" s="39">
        <f>'测算底稿'!F34</f>
        <v/>
      </c>
      <c r="C36" s="39">
        <f>'测算底稿'!G34</f>
        <v/>
      </c>
      <c r="D36" s="39">
        <f>'测算底稿'!G34</f>
        <v/>
      </c>
      <c r="E36" s="39">
        <f>'测算底稿'!H34</f>
        <v/>
      </c>
      <c r="F36" s="40">
        <f>'测算底稿'!B34</f>
        <v/>
      </c>
    </row>
    <row r="37">
      <c r="A37" s="36" t="inlineStr">
        <is>
          <t>当地定制</t>
        </is>
      </c>
      <c r="B37" s="39">
        <f>'测算底稿'!F35</f>
        <v/>
      </c>
      <c r="C37" s="39">
        <f>'测算底稿'!G35</f>
        <v/>
      </c>
      <c r="D37" s="39">
        <f>'测算底稿'!G35</f>
        <v/>
      </c>
      <c r="E37" s="39">
        <f>'测算底稿'!H35</f>
        <v/>
      </c>
      <c r="F37" s="40">
        <f>'测算底稿'!B35</f>
        <v/>
      </c>
    </row>
    <row r="39">
      <c r="A39" s="32" t="inlineStr">
        <is>
          <t>五、关键假设</t>
        </is>
      </c>
    </row>
    <row r="40">
      <c r="A40" s="36" t="inlineStr">
        <is>
          <t>国内游占休闲成交额 2025</t>
        </is>
      </c>
      <c r="B40" s="41">
        <f>'测算底稿'!C23</f>
        <v/>
      </c>
      <c r="C40" s="34" t="inlineStr">
        <is>
          <t>公司未披露；按零售成交额约30%、批发约1%估算</t>
        </is>
      </c>
    </row>
    <row r="41">
      <c r="A41" s="36" t="inlineStr">
        <is>
          <t>国内游占休闲成交额 2026年1–8月</t>
        </is>
      </c>
      <c r="B41" s="41">
        <f>'测算底稿'!E23</f>
        <v/>
      </c>
      <c r="C41" s="34" t="inlineStr">
        <is>
          <t>五一国内游GMV+38%而同期休闲成交额下滑，占比上调</t>
        </is>
      </c>
    </row>
    <row r="42">
      <c r="A42" s="36" t="inlineStr">
        <is>
          <t>批发渠道佣金率</t>
        </is>
      </c>
      <c r="B42" s="42">
        <f>'测算底稿'!B15</f>
        <v/>
      </c>
      <c r="C42" s="34" t="inlineStr">
        <is>
          <t>批发收入为同行价，按此还原终端成交价</t>
        </is>
      </c>
    </row>
    <row r="43">
      <c r="A43" s="36" t="inlineStr">
        <is>
          <t>7–8月占全年成交额</t>
        </is>
      </c>
      <c r="B43" s="42">
        <f>'测算底稿'!B16</f>
        <v/>
      </c>
      <c r="C43" s="34" t="inlineStr">
        <is>
          <t>暑期出境与国内共同高峰</t>
        </is>
      </c>
    </row>
    <row r="44">
      <c r="A44" s="36" t="inlineStr">
        <is>
          <t>2026年7–8月休闲成交额同比</t>
        </is>
      </c>
      <c r="B44" s="43">
        <f>'测算底稿'!B17</f>
        <v/>
      </c>
      <c r="C44" s="34" t="inlineStr">
        <is>
          <t>2026上半年约−5.8%，暑期需求部分对冲</t>
        </is>
      </c>
    </row>
    <row r="45" ht="30" customHeight="1">
      <c r="A45" s="33" t="inlineStr">
        <is>
          <t>产品结构</t>
        </is>
      </c>
      <c r="B45" s="34">
        <f>"大团向小团、私家团、定制及目的地参团分流；含大交通大团人次占比 "&amp;TEXT('测算底稿'!C27,"0%")&amp;" → "&amp;TEXT('测算底稿'!D27,"0%")&amp;" → "&amp;TEXT('测算底稿'!E27,"0%")&amp;"（2024全年 → 2025全年 → 2026年1–8月）。"</f>
        <v/>
      </c>
    </row>
    <row r="47">
      <c r="A47" s="32" t="inlineStr">
        <is>
          <t>六、建议访谈核实（最能提升本表精度的四个数）</t>
        </is>
      </c>
    </row>
    <row r="48">
      <c r="A48" s="36" t="inlineStr">
        <is>
          <t>·</t>
        </is>
      </c>
      <c r="B48" s="34" t="inlineStr">
        <is>
          <t>国内游占众信休闲业务收入/成交额的比例——决定全部人次格的量级</t>
        </is>
      </c>
    </row>
    <row r="49">
      <c r="A49" s="36" t="inlineStr">
        <is>
          <t>·</t>
        </is>
      </c>
      <c r="B49" s="34" t="inlineStr">
        <is>
          <t>国内游收客中：出发地参团与目的地参团、大巴与小车、拼团与私家/定制各占多少</t>
        </is>
      </c>
    </row>
    <row r="50">
      <c r="A50" s="36" t="inlineStr">
        <is>
          <t>·</t>
        </is>
      </c>
      <c r="B50" s="34" t="inlineStr">
        <is>
          <t>国内游主要经哪个渠道销售（直营/加盟门店、悠哉网、批发给同行）及各自占比</t>
        </is>
      </c>
    </row>
    <row r="51">
      <c r="A51" s="36" t="inlineStr">
        <is>
          <t>·</t>
        </is>
      </c>
      <c r="B51" s="34" t="inlineStr">
        <is>
          <t>7–8月国内游收客占全年比例</t>
        </is>
      </c>
    </row>
  </sheetData>
  <mergeCells count="29">
    <mergeCell ref="B4:F4"/>
    <mergeCell ref="B7:F7"/>
    <mergeCell ref="A27:F27"/>
    <mergeCell ref="B24:E24"/>
    <mergeCell ref="A3:F3"/>
    <mergeCell ref="B12:F12"/>
    <mergeCell ref="A47:F47"/>
    <mergeCell ref="B48:F48"/>
    <mergeCell ref="B11:F11"/>
    <mergeCell ref="B25:E25"/>
    <mergeCell ref="B8:F8"/>
    <mergeCell ref="C42:F42"/>
    <mergeCell ref="B22:E22"/>
    <mergeCell ref="B13:F13"/>
    <mergeCell ref="B10:F10"/>
    <mergeCell ref="A9:F9"/>
    <mergeCell ref="C41:F41"/>
    <mergeCell ref="A39:F39"/>
    <mergeCell ref="A15:F15"/>
    <mergeCell ref="C44:F44"/>
    <mergeCell ref="B49:F49"/>
    <mergeCell ref="C40:F40"/>
    <mergeCell ref="B23:E23"/>
    <mergeCell ref="B6:F6"/>
    <mergeCell ref="C43:F43"/>
    <mergeCell ref="B5:F5"/>
    <mergeCell ref="B51:F51"/>
    <mergeCell ref="B45:F45"/>
    <mergeCell ref="B50:F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2026-09-23T01:32:15Z</dcterms:created>
  <dcterms:modified xsi:type="dcterms:W3CDTF">2026-09-24T07:33:32Z</dcterms:modified>
</cp:coreProperties>
</file>